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 activeTab="3"/>
  </bookViews>
  <sheets>
    <sheet name="原始数据" sheetId="1" r:id="rId1"/>
    <sheet name="标曲" sheetId="2" r:id="rId2"/>
    <sheet name="数据处理" sheetId="3" r:id="rId3"/>
    <sheet name="数据整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<sst xmlns="http://schemas.openxmlformats.org/spreadsheetml/2006/main" count="177" uniqueCount="89">
  <si>
    <t>&lt;&gt;</t>
  </si>
  <si>
    <t>A</t>
  </si>
  <si>
    <t>B</t>
  </si>
  <si>
    <t>C</t>
  </si>
  <si>
    <t>D</t>
  </si>
  <si>
    <t>E</t>
  </si>
  <si>
    <t>F</t>
  </si>
  <si>
    <t>G</t>
  </si>
  <si>
    <t>H</t>
  </si>
  <si>
    <t>OD450</t>
  </si>
  <si>
    <t>OD630</t>
  </si>
  <si>
    <t>OD</t>
  </si>
  <si>
    <t>OD450-OD630</t>
  </si>
  <si>
    <t>平均值</t>
  </si>
  <si>
    <t>数据处理</t>
  </si>
  <si>
    <t>0-0.500187486410141</t>
  </si>
  <si>
    <t>标曲</t>
  </si>
  <si>
    <t>y = -0.3281x + 0.9513_x000b_</t>
  </si>
  <si>
    <t>N</t>
  </si>
  <si>
    <t>NHW1</t>
  </si>
  <si>
    <t>NHW2</t>
  </si>
  <si>
    <t>NHD1</t>
  </si>
  <si>
    <t>NHD2</t>
  </si>
  <si>
    <t>AW1</t>
  </si>
  <si>
    <t>AW2</t>
  </si>
  <si>
    <t>AD1</t>
  </si>
  <si>
    <t>AD2</t>
  </si>
  <si>
    <t>AWU1</t>
  </si>
  <si>
    <t>AWU2</t>
  </si>
  <si>
    <t>ADU1</t>
  </si>
  <si>
    <t>ADU2</t>
  </si>
  <si>
    <t>PW1</t>
  </si>
  <si>
    <t>PW2</t>
  </si>
  <si>
    <t>PD1</t>
  </si>
  <si>
    <t>PD2</t>
  </si>
  <si>
    <t>PWU1</t>
  </si>
  <si>
    <t>PWU2</t>
  </si>
  <si>
    <t>PDU1</t>
  </si>
  <si>
    <t>PDU2</t>
  </si>
  <si>
    <t>RW1</t>
  </si>
  <si>
    <t>RW2</t>
  </si>
  <si>
    <t>RD1</t>
  </si>
  <si>
    <t>RD2</t>
  </si>
  <si>
    <t>RWU1</t>
  </si>
  <si>
    <t>RWU2</t>
  </si>
  <si>
    <t>RDU1</t>
  </si>
  <si>
    <t>RDU2</t>
  </si>
  <si>
    <t>OD450-630</t>
  </si>
  <si>
    <t>数据处理1</t>
  </si>
  <si>
    <t>X</t>
  </si>
  <si>
    <t>log</t>
  </si>
  <si>
    <t>10^</t>
  </si>
  <si>
    <t>数据挑选</t>
  </si>
  <si>
    <t>数据结果</t>
  </si>
  <si>
    <t>标准差</t>
  </si>
  <si>
    <t>数据转换</t>
  </si>
  <si>
    <t>整理</t>
  </si>
  <si>
    <t>未超声</t>
  </si>
  <si>
    <t>误差</t>
  </si>
  <si>
    <t>标签</t>
  </si>
  <si>
    <t>超声</t>
  </si>
  <si>
    <t>a</t>
  </si>
  <si>
    <t>b</t>
  </si>
  <si>
    <t>bc</t>
  </si>
  <si>
    <t>bcd</t>
  </si>
  <si>
    <t>阿拉伯糖湿法1 h</t>
  </si>
  <si>
    <t>阿拉伯糖湿法2 h</t>
  </si>
  <si>
    <t>cd</t>
  </si>
  <si>
    <t>阿拉伯糖干法1 h</t>
  </si>
  <si>
    <t>de</t>
  </si>
  <si>
    <t>阿拉伯糖干法2 h</t>
  </si>
  <si>
    <t>h</t>
  </si>
  <si>
    <t>def</t>
  </si>
  <si>
    <t>葡萄糖湿法1 h</t>
  </si>
  <si>
    <t>ef</t>
  </si>
  <si>
    <t>葡萄糖湿法2 h</t>
  </si>
  <si>
    <t>f</t>
  </si>
  <si>
    <t>葡萄糖干法1 h</t>
  </si>
  <si>
    <t>fg</t>
  </si>
  <si>
    <t>cde</t>
  </si>
  <si>
    <t>葡萄糖干法2 h</t>
  </si>
  <si>
    <t>gh</t>
  </si>
  <si>
    <t>defg</t>
  </si>
  <si>
    <t>乳糖湿法1 h</t>
  </si>
  <si>
    <t>乳糖湿法2 h</t>
  </si>
  <si>
    <t>fgh</t>
  </si>
  <si>
    <t>乳糖干法1 h</t>
  </si>
  <si>
    <t>efgh</t>
  </si>
  <si>
    <t>乳糖干法2 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</si>
</sst>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β-Lg-IgG-标准曲线</a:t>
            </a:r>
            <a:endParaRPr b="1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charset="0"/>
                      <a:ea typeface="Times New Roman" panose="02020603050405020304" charset="0"/>
                      <a:cs typeface="Times New Roman" panose="02020603050405020304" charset="0"/>
                      <a:sym typeface="Times New Roman" panose="02020603050405020304" charset="0"/>
                    </a:defRPr>
                  </a:pPr>
                </a:p>
              </c:txPr>
            </c:trendlineLbl>
          </c:trendline>
          <c:xVal>
            <c:numRef>
              <c:f>标曲!$B$28:$B$32</c:f>
              <c:numCache>
                <c:formatCode>General</c:formatCode>
                <c:ptCount val="5"/>
                <c:pt idx="0">
                  <c:v>0</c:v>
                </c:pt>
                <c:pt idx="1">
                  <c:v>0.602059991327962</c:v>
                </c:pt>
                <c:pt idx="2">
                  <c:v>0.903089986991944</c:v>
                </c:pt>
                <c:pt idx="3">
                  <c:v>1.20411998265592</c:v>
                </c:pt>
                <c:pt idx="4">
                  <c:v>1.80617997398389</c:v>
                </c:pt>
              </c:numCache>
            </c:numRef>
          </c:xVal>
          <c:yVal>
            <c:numRef>
              <c:f>标曲!$C$28:$C$32</c:f>
              <c:numCache>
                <c:formatCode>General</c:formatCode>
                <c:ptCount val="5"/>
                <c:pt idx="0">
                  <c:v>0.946930005932758</c:v>
                </c:pt>
                <c:pt idx="1">
                  <c:v>0.746658855607033</c:v>
                </c:pt>
                <c:pt idx="2">
                  <c:v>0.670225599472275</c:v>
                </c:pt>
                <c:pt idx="3">
                  <c:v>0.561011013149618</c:v>
                </c:pt>
                <c:pt idx="4">
                  <c:v>0.350426094399761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5826"/>
        <c:axId val="593366530"/>
      </c:scatterChart>
      <c:valAx>
        <c:axId val="383258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lg（β-Lg）</a:t>
                </a:r>
                <a:endParaRPr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93366530"/>
        <c:crosses val="autoZero"/>
        <c:crossBetween val="midCat"/>
      </c:valAx>
      <c:valAx>
        <c:axId val="593366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OD450-OD630</a:t>
                </a:r>
                <a:endParaRPr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832582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b6b19c7-3fea-4bf6-85e4-07b5e8039e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80" b="1"/>
              <a:t>β-Lg-糖基化-IgG结合力</a:t>
            </a:r>
            <a:endParaRPr sz="1680" b="1"/>
          </a:p>
        </c:rich>
      </c:tx>
      <c:layout>
        <c:manualLayout>
          <c:xMode val="edge"/>
          <c:yMode val="edge"/>
          <c:x val="0.457262905162065"/>
          <c:y val="0.03393025447690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7250900360144"/>
          <c:y val="0.107398680490104"/>
          <c:w val="0.912869147659064"/>
          <c:h val="0.6615362865221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数据整理!$C$13</c:f>
              <c:strCache>
                <c:ptCount val="1"/>
                <c:pt idx="0">
                  <c:v>未超声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数据整理!$D$14:$D$30</c:f>
                <c:numCache>
                  <c:formatCode>General</c:formatCode>
                  <c:ptCount val="17"/>
                  <c:pt idx="0">
                    <c:v>0.269671881056983</c:v>
                  </c:pt>
                  <c:pt idx="1">
                    <c:v>0.256940998867586</c:v>
                  </c:pt>
                  <c:pt idx="2">
                    <c:v>0.239852985489058</c:v>
                  </c:pt>
                  <c:pt idx="3">
                    <c:v>0.137349297930732</c:v>
                  </c:pt>
                  <c:pt idx="4">
                    <c:v>0.171142263415297</c:v>
                  </c:pt>
                  <c:pt idx="5">
                    <c:v>0.0794534618834495</c:v>
                  </c:pt>
                  <c:pt idx="6">
                    <c:v>0.0944580325796058</c:v>
                  </c:pt>
                  <c:pt idx="7">
                    <c:v>0.108670727266511</c:v>
                  </c:pt>
                  <c:pt idx="8">
                    <c:v>0.209759583190424</c:v>
                  </c:pt>
                  <c:pt idx="9">
                    <c:v>0.182591943006427</c:v>
                  </c:pt>
                  <c:pt idx="10">
                    <c:v>0.168618962186721</c:v>
                  </c:pt>
                  <c:pt idx="11">
                    <c:v>0.12935747544506</c:v>
                  </c:pt>
                  <c:pt idx="12">
                    <c:v>0.130887339596757</c:v>
                  </c:pt>
                  <c:pt idx="13">
                    <c:v>0.209084363882509</c:v>
                  </c:pt>
                  <c:pt idx="14">
                    <c:v>0.35920170952837</c:v>
                  </c:pt>
                  <c:pt idx="15">
                    <c:v>0.102040419870136</c:v>
                  </c:pt>
                  <c:pt idx="16">
                    <c:v>0.257045494769779</c:v>
                  </c:pt>
                </c:numCache>
              </c:numRef>
            </c:plus>
            <c:minus>
              <c:numRef>
                <c:f>数据整理!$D$14:$D$30</c:f>
                <c:numCache>
                  <c:formatCode>General</c:formatCode>
                  <c:ptCount val="17"/>
                  <c:pt idx="0">
                    <c:v>0.269671881056983</c:v>
                  </c:pt>
                  <c:pt idx="1">
                    <c:v>0.256940998867586</c:v>
                  </c:pt>
                  <c:pt idx="2">
                    <c:v>0.239852985489058</c:v>
                  </c:pt>
                  <c:pt idx="3">
                    <c:v>0.137349297930732</c:v>
                  </c:pt>
                  <c:pt idx="4">
                    <c:v>0.171142263415297</c:v>
                  </c:pt>
                  <c:pt idx="5">
                    <c:v>0.0794534618834495</c:v>
                  </c:pt>
                  <c:pt idx="6">
                    <c:v>0.0944580325796058</c:v>
                  </c:pt>
                  <c:pt idx="7">
                    <c:v>0.108670727266511</c:v>
                  </c:pt>
                  <c:pt idx="8">
                    <c:v>0.209759583190424</c:v>
                  </c:pt>
                  <c:pt idx="9">
                    <c:v>0.182591943006427</c:v>
                  </c:pt>
                  <c:pt idx="10">
                    <c:v>0.168618962186721</c:v>
                  </c:pt>
                  <c:pt idx="11">
                    <c:v>0.12935747544506</c:v>
                  </c:pt>
                  <c:pt idx="12">
                    <c:v>0.130887339596757</c:v>
                  </c:pt>
                  <c:pt idx="13">
                    <c:v>0.209084363882509</c:v>
                  </c:pt>
                  <c:pt idx="14">
                    <c:v>0.35920170952837</c:v>
                  </c:pt>
                  <c:pt idx="15">
                    <c:v>0.102040419870136</c:v>
                  </c:pt>
                  <c:pt idx="16">
                    <c:v>0.257045494769779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数据整理!$B$14:$B$30</c:f>
              <c:strCache>
                <c:ptCount val="17"/>
                <c:pt idx="0">
                  <c:v>N</c:v>
                </c:pt>
                <c:pt idx="1">
                  <c:v>NHW1</c:v>
                </c:pt>
                <c:pt idx="2">
                  <c:v>NHW2</c:v>
                </c:pt>
                <c:pt idx="3">
                  <c:v>NHD1</c:v>
                </c:pt>
                <c:pt idx="4">
                  <c:v>NHD2</c:v>
                </c:pt>
                <c:pt idx="5">
                  <c:v>阿拉伯糖湿法1 h</c:v>
                </c:pt>
                <c:pt idx="6">
                  <c:v>阿拉伯糖湿法2 h</c:v>
                </c:pt>
                <c:pt idx="7">
                  <c:v>阿拉伯糖干法1 h</c:v>
                </c:pt>
                <c:pt idx="8">
                  <c:v>阿拉伯糖干法2 h</c:v>
                </c:pt>
                <c:pt idx="9">
                  <c:v>葡萄糖湿法1 h</c:v>
                </c:pt>
                <c:pt idx="10">
                  <c:v>葡萄糖湿法2 h</c:v>
                </c:pt>
                <c:pt idx="11">
                  <c:v>葡萄糖干法1 h</c:v>
                </c:pt>
                <c:pt idx="12">
                  <c:v>葡萄糖干法2 h</c:v>
                </c:pt>
                <c:pt idx="13">
                  <c:v>乳糖湿法1 h</c:v>
                </c:pt>
                <c:pt idx="14">
                  <c:v>乳糖湿法2 h</c:v>
                </c:pt>
                <c:pt idx="15">
                  <c:v>乳糖干法1 h</c:v>
                </c:pt>
                <c:pt idx="16">
                  <c:v>乳糖干法2 h</c:v>
                </c:pt>
              </c:strCache>
            </c:strRef>
          </c:cat>
          <c:val>
            <c:numRef>
              <c:f>数据整理!$C$14:$C$30</c:f>
              <c:numCache>
                <c:formatCode>General</c:formatCode>
                <c:ptCount val="17"/>
                <c:pt idx="0">
                  <c:v>3.95492725830419</c:v>
                </c:pt>
                <c:pt idx="1">
                  <c:v>3.49479376710366</c:v>
                </c:pt>
                <c:pt idx="2">
                  <c:v>3.29930542678433</c:v>
                </c:pt>
                <c:pt idx="3">
                  <c:v>3.2550256031598</c:v>
                </c:pt>
                <c:pt idx="4">
                  <c:v>3.06755870418375</c:v>
                </c:pt>
                <c:pt idx="5">
                  <c:v>3.44014535442042</c:v>
                </c:pt>
                <c:pt idx="6">
                  <c:v>2.96086421837655</c:v>
                </c:pt>
                <c:pt idx="7">
                  <c:v>2.76353019964196</c:v>
                </c:pt>
                <c:pt idx="8">
                  <c:v>1.36097687251682</c:v>
                </c:pt>
                <c:pt idx="9">
                  <c:v>2.44301615609185</c:v>
                </c:pt>
                <c:pt idx="10">
                  <c:v>2.31051512377785</c:v>
                </c:pt>
                <c:pt idx="11">
                  <c:v>2.17259040476299</c:v>
                </c:pt>
                <c:pt idx="12">
                  <c:v>1.77316950134453</c:v>
                </c:pt>
                <c:pt idx="13">
                  <c:v>2.44487020178869</c:v>
                </c:pt>
                <c:pt idx="14">
                  <c:v>1.59513457507367</c:v>
                </c:pt>
                <c:pt idx="15">
                  <c:v>1.41107424729871</c:v>
                </c:pt>
                <c:pt idx="16">
                  <c:v>1.68826793747255</c:v>
                </c:pt>
              </c:numCache>
            </c:numRef>
          </c:val>
        </c:ser>
        <c:ser>
          <c:idx val="2"/>
          <c:order val="1"/>
          <c:tx>
            <c:strRef>
              <c:f>数据整理!$E$13</c:f>
              <c:strCache>
                <c:ptCount val="1"/>
                <c:pt idx="0">
                  <c:v>标签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plus>
              <c:numRef>
                <c:f>数据整理!$D$14:$D$30</c:f>
                <c:numCache>
                  <c:formatCode>General</c:formatCode>
                  <c:ptCount val="17"/>
                  <c:pt idx="0">
                    <c:v>0.269671881056983</c:v>
                  </c:pt>
                  <c:pt idx="1">
                    <c:v>0.256940998867586</c:v>
                  </c:pt>
                  <c:pt idx="2">
                    <c:v>0.239852985489058</c:v>
                  </c:pt>
                  <c:pt idx="3">
                    <c:v>0.137349297930732</c:v>
                  </c:pt>
                  <c:pt idx="4">
                    <c:v>0.171142263415297</c:v>
                  </c:pt>
                  <c:pt idx="5">
                    <c:v>0.0794534618834495</c:v>
                  </c:pt>
                  <c:pt idx="6">
                    <c:v>0.0944580325796058</c:v>
                  </c:pt>
                  <c:pt idx="7">
                    <c:v>0.108670727266511</c:v>
                  </c:pt>
                  <c:pt idx="8">
                    <c:v>0.209759583190424</c:v>
                  </c:pt>
                  <c:pt idx="9">
                    <c:v>0.182591943006427</c:v>
                  </c:pt>
                  <c:pt idx="10">
                    <c:v>0.168618962186721</c:v>
                  </c:pt>
                  <c:pt idx="11">
                    <c:v>0.12935747544506</c:v>
                  </c:pt>
                  <c:pt idx="12">
                    <c:v>0.130887339596757</c:v>
                  </c:pt>
                  <c:pt idx="13">
                    <c:v>0.209084363882509</c:v>
                  </c:pt>
                  <c:pt idx="14">
                    <c:v>0.35920170952837</c:v>
                  </c:pt>
                  <c:pt idx="15">
                    <c:v>0.102040419870136</c:v>
                  </c:pt>
                  <c:pt idx="16">
                    <c:v>0.257045494769779</c:v>
                  </c:pt>
                </c:numCache>
              </c:numRef>
            </c:plus>
            <c:minus>
              <c:numRef>
                <c:f>数据整理!$D$14:$D$30</c:f>
                <c:numCache>
                  <c:formatCode>General</c:formatCode>
                  <c:ptCount val="17"/>
                  <c:pt idx="0">
                    <c:v>0.269671881056983</c:v>
                  </c:pt>
                  <c:pt idx="1">
                    <c:v>0.256940998867586</c:v>
                  </c:pt>
                  <c:pt idx="2">
                    <c:v>0.239852985489058</c:v>
                  </c:pt>
                  <c:pt idx="3">
                    <c:v>0.137349297930732</c:v>
                  </c:pt>
                  <c:pt idx="4">
                    <c:v>0.171142263415297</c:v>
                  </c:pt>
                  <c:pt idx="5">
                    <c:v>0.0794534618834495</c:v>
                  </c:pt>
                  <c:pt idx="6">
                    <c:v>0.0944580325796058</c:v>
                  </c:pt>
                  <c:pt idx="7">
                    <c:v>0.108670727266511</c:v>
                  </c:pt>
                  <c:pt idx="8">
                    <c:v>0.209759583190424</c:v>
                  </c:pt>
                  <c:pt idx="9">
                    <c:v>0.182591943006427</c:v>
                  </c:pt>
                  <c:pt idx="10">
                    <c:v>0.168618962186721</c:v>
                  </c:pt>
                  <c:pt idx="11">
                    <c:v>0.12935747544506</c:v>
                  </c:pt>
                  <c:pt idx="12">
                    <c:v>0.130887339596757</c:v>
                  </c:pt>
                  <c:pt idx="13">
                    <c:v>0.209084363882509</c:v>
                  </c:pt>
                  <c:pt idx="14">
                    <c:v>0.35920170952837</c:v>
                  </c:pt>
                  <c:pt idx="15">
                    <c:v>0.102040419870136</c:v>
                  </c:pt>
                  <c:pt idx="16">
                    <c:v>0.257045494769779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数据整理!$B$14:$B$30</c:f>
              <c:strCache>
                <c:ptCount val="17"/>
                <c:pt idx="0">
                  <c:v>N</c:v>
                </c:pt>
                <c:pt idx="1">
                  <c:v>NHW1</c:v>
                </c:pt>
                <c:pt idx="2">
                  <c:v>NHW2</c:v>
                </c:pt>
                <c:pt idx="3">
                  <c:v>NHD1</c:v>
                </c:pt>
                <c:pt idx="4">
                  <c:v>NHD2</c:v>
                </c:pt>
                <c:pt idx="5">
                  <c:v>阿拉伯糖湿法1 h</c:v>
                </c:pt>
                <c:pt idx="6">
                  <c:v>阿拉伯糖湿法2 h</c:v>
                </c:pt>
                <c:pt idx="7">
                  <c:v>阿拉伯糖干法1 h</c:v>
                </c:pt>
                <c:pt idx="8">
                  <c:v>阿拉伯糖干法2 h</c:v>
                </c:pt>
                <c:pt idx="9">
                  <c:v>葡萄糖湿法1 h</c:v>
                </c:pt>
                <c:pt idx="10">
                  <c:v>葡萄糖湿法2 h</c:v>
                </c:pt>
                <c:pt idx="11">
                  <c:v>葡萄糖干法1 h</c:v>
                </c:pt>
                <c:pt idx="12">
                  <c:v>葡萄糖干法2 h</c:v>
                </c:pt>
                <c:pt idx="13">
                  <c:v>乳糖湿法1 h</c:v>
                </c:pt>
                <c:pt idx="14">
                  <c:v>乳糖湿法2 h</c:v>
                </c:pt>
                <c:pt idx="15">
                  <c:v>乳糖干法1 h</c:v>
                </c:pt>
                <c:pt idx="16">
                  <c:v>乳糖干法2 h</c:v>
                </c:pt>
              </c:strCache>
            </c:strRef>
          </c:cat>
          <c:val>
            <c:numRef>
              <c:f>数据整理!$E$14:$E$30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3"/>
          <c:order val="2"/>
          <c:tx>
            <c:strRef>
              <c:f>数据整理!$F$13</c:f>
              <c:strCache>
                <c:ptCount val="1"/>
                <c:pt idx="0">
                  <c:v>超声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数据整理!$G$14:$G$30</c:f>
                <c:numCache>
                  <c:formatCode>General</c:formatCode>
                  <c:ptCount val="17"/>
                  <c:pt idx="5">
                    <c:v>0.17697070969582</c:v>
                  </c:pt>
                  <c:pt idx="6">
                    <c:v>0.072230848022752</c:v>
                  </c:pt>
                  <c:pt idx="7">
                    <c:v>0.123273158826354</c:v>
                  </c:pt>
                  <c:pt idx="8">
                    <c:v>0.107962527830882</c:v>
                  </c:pt>
                  <c:pt idx="9">
                    <c:v>0.177315098757822</c:v>
                  </c:pt>
                  <c:pt idx="10">
                    <c:v>0.0147463243096912</c:v>
                  </c:pt>
                  <c:pt idx="11">
                    <c:v>0.293155587480723</c:v>
                  </c:pt>
                  <c:pt idx="12">
                    <c:v>0.130812658239333</c:v>
                  </c:pt>
                  <c:pt idx="13">
                    <c:v>0.108104426043003</c:v>
                  </c:pt>
                  <c:pt idx="14">
                    <c:v>0.319015326522908</c:v>
                  </c:pt>
                  <c:pt idx="15">
                    <c:v>0.126036947300536</c:v>
                  </c:pt>
                  <c:pt idx="16">
                    <c:v>0.0904439388766223</c:v>
                  </c:pt>
                </c:numCache>
              </c:numRef>
            </c:plus>
            <c:minus>
              <c:numRef>
                <c:f>数据整理!$G$14:$G$30</c:f>
                <c:numCache>
                  <c:formatCode>General</c:formatCode>
                  <c:ptCount val="17"/>
                  <c:pt idx="5">
                    <c:v>0.17697070969582</c:v>
                  </c:pt>
                  <c:pt idx="6">
                    <c:v>0.072230848022752</c:v>
                  </c:pt>
                  <c:pt idx="7">
                    <c:v>0.123273158826354</c:v>
                  </c:pt>
                  <c:pt idx="8">
                    <c:v>0.107962527830882</c:v>
                  </c:pt>
                  <c:pt idx="9">
                    <c:v>0.177315098757822</c:v>
                  </c:pt>
                  <c:pt idx="10">
                    <c:v>0.0147463243096912</c:v>
                  </c:pt>
                  <c:pt idx="11">
                    <c:v>0.293155587480723</c:v>
                  </c:pt>
                  <c:pt idx="12">
                    <c:v>0.130812658239333</c:v>
                  </c:pt>
                  <c:pt idx="13">
                    <c:v>0.108104426043003</c:v>
                  </c:pt>
                  <c:pt idx="14">
                    <c:v>0.319015326522908</c:v>
                  </c:pt>
                  <c:pt idx="15">
                    <c:v>0.126036947300536</c:v>
                  </c:pt>
                  <c:pt idx="16">
                    <c:v>0.0904439388766223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数据整理!$B$14:$B$30</c:f>
              <c:strCache>
                <c:ptCount val="17"/>
                <c:pt idx="0">
                  <c:v>N</c:v>
                </c:pt>
                <c:pt idx="1">
                  <c:v>NHW1</c:v>
                </c:pt>
                <c:pt idx="2">
                  <c:v>NHW2</c:v>
                </c:pt>
                <c:pt idx="3">
                  <c:v>NHD1</c:v>
                </c:pt>
                <c:pt idx="4">
                  <c:v>NHD2</c:v>
                </c:pt>
                <c:pt idx="5">
                  <c:v>阿拉伯糖湿法1 h</c:v>
                </c:pt>
                <c:pt idx="6">
                  <c:v>阿拉伯糖湿法2 h</c:v>
                </c:pt>
                <c:pt idx="7">
                  <c:v>阿拉伯糖干法1 h</c:v>
                </c:pt>
                <c:pt idx="8">
                  <c:v>阿拉伯糖干法2 h</c:v>
                </c:pt>
                <c:pt idx="9">
                  <c:v>葡萄糖湿法1 h</c:v>
                </c:pt>
                <c:pt idx="10">
                  <c:v>葡萄糖湿法2 h</c:v>
                </c:pt>
                <c:pt idx="11">
                  <c:v>葡萄糖干法1 h</c:v>
                </c:pt>
                <c:pt idx="12">
                  <c:v>葡萄糖干法2 h</c:v>
                </c:pt>
                <c:pt idx="13">
                  <c:v>乳糖湿法1 h</c:v>
                </c:pt>
                <c:pt idx="14">
                  <c:v>乳糖湿法2 h</c:v>
                </c:pt>
                <c:pt idx="15">
                  <c:v>乳糖干法1 h</c:v>
                </c:pt>
                <c:pt idx="16">
                  <c:v>乳糖干法2 h</c:v>
                </c:pt>
              </c:strCache>
            </c:strRef>
          </c:cat>
          <c:val>
            <c:numRef>
              <c:f>数据整理!$F$14:$F$30</c:f>
              <c:numCache>
                <c:formatCode>General</c:formatCode>
                <c:ptCount val="17"/>
                <c:pt idx="5">
                  <c:v>2.60906594256074</c:v>
                </c:pt>
                <c:pt idx="6">
                  <c:v>2.63624465355472</c:v>
                </c:pt>
                <c:pt idx="7">
                  <c:v>1.4548908478178</c:v>
                </c:pt>
                <c:pt idx="8">
                  <c:v>1.28534118745812</c:v>
                </c:pt>
                <c:pt idx="9">
                  <c:v>1.92157389573474</c:v>
                </c:pt>
                <c:pt idx="10">
                  <c:v>1.77544396773128</c:v>
                </c:pt>
                <c:pt idx="11">
                  <c:v>1.42821140139785</c:v>
                </c:pt>
                <c:pt idx="12">
                  <c:v>1.18576687447308</c:v>
                </c:pt>
                <c:pt idx="13">
                  <c:v>0.891317041708162</c:v>
                </c:pt>
                <c:pt idx="14">
                  <c:v>1.03480296426134</c:v>
                </c:pt>
                <c:pt idx="15">
                  <c:v>1.07073637215434</c:v>
                </c:pt>
                <c:pt idx="16">
                  <c:v>0.730778059415307</c:v>
                </c:pt>
              </c:numCache>
            </c:numRef>
          </c:val>
        </c:ser>
        <c:ser>
          <c:idx val="5"/>
          <c:order val="3"/>
          <c:tx>
            <c:strRef>
              <c:f>数据整理!$H$13</c:f>
              <c:strCache>
                <c:ptCount val="1"/>
                <c:pt idx="0">
                  <c:v>标签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plus>
              <c:numRef>
                <c:f>数据整理!$G$14:$G$30</c:f>
                <c:numCache>
                  <c:formatCode>General</c:formatCode>
                  <c:ptCount val="17"/>
                  <c:pt idx="5">
                    <c:v>0.17697070969582</c:v>
                  </c:pt>
                  <c:pt idx="6">
                    <c:v>0.072230848022752</c:v>
                  </c:pt>
                  <c:pt idx="7">
                    <c:v>0.123273158826354</c:v>
                  </c:pt>
                  <c:pt idx="8">
                    <c:v>0.107962527830882</c:v>
                  </c:pt>
                  <c:pt idx="9">
                    <c:v>0.177315098757822</c:v>
                  </c:pt>
                  <c:pt idx="10">
                    <c:v>0.0147463243096912</c:v>
                  </c:pt>
                  <c:pt idx="11">
                    <c:v>0.293155587480723</c:v>
                  </c:pt>
                  <c:pt idx="12">
                    <c:v>0.130812658239333</c:v>
                  </c:pt>
                  <c:pt idx="13">
                    <c:v>0.108104426043003</c:v>
                  </c:pt>
                  <c:pt idx="14">
                    <c:v>0.319015326522908</c:v>
                  </c:pt>
                  <c:pt idx="15">
                    <c:v>0.126036947300536</c:v>
                  </c:pt>
                  <c:pt idx="16">
                    <c:v>0.0904439388766223</c:v>
                  </c:pt>
                </c:numCache>
              </c:numRef>
            </c:plus>
            <c:minus>
              <c:numRef>
                <c:f>数据整理!$G$14:$G$30</c:f>
                <c:numCache>
                  <c:formatCode>General</c:formatCode>
                  <c:ptCount val="17"/>
                  <c:pt idx="5">
                    <c:v>0.17697070969582</c:v>
                  </c:pt>
                  <c:pt idx="6">
                    <c:v>0.072230848022752</c:v>
                  </c:pt>
                  <c:pt idx="7">
                    <c:v>0.123273158826354</c:v>
                  </c:pt>
                  <c:pt idx="8">
                    <c:v>0.107962527830882</c:v>
                  </c:pt>
                  <c:pt idx="9">
                    <c:v>0.177315098757822</c:v>
                  </c:pt>
                  <c:pt idx="10">
                    <c:v>0.0147463243096912</c:v>
                  </c:pt>
                  <c:pt idx="11">
                    <c:v>0.293155587480723</c:v>
                  </c:pt>
                  <c:pt idx="12">
                    <c:v>0.130812658239333</c:v>
                  </c:pt>
                  <c:pt idx="13">
                    <c:v>0.108104426043003</c:v>
                  </c:pt>
                  <c:pt idx="14">
                    <c:v>0.319015326522908</c:v>
                  </c:pt>
                  <c:pt idx="15">
                    <c:v>0.126036947300536</c:v>
                  </c:pt>
                  <c:pt idx="16">
                    <c:v>0.0904439388766223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数据整理!$B$14:$B$30</c:f>
              <c:strCache>
                <c:ptCount val="17"/>
                <c:pt idx="0">
                  <c:v>N</c:v>
                </c:pt>
                <c:pt idx="1">
                  <c:v>NHW1</c:v>
                </c:pt>
                <c:pt idx="2">
                  <c:v>NHW2</c:v>
                </c:pt>
                <c:pt idx="3">
                  <c:v>NHD1</c:v>
                </c:pt>
                <c:pt idx="4">
                  <c:v>NHD2</c:v>
                </c:pt>
                <c:pt idx="5">
                  <c:v>阿拉伯糖湿法1 h</c:v>
                </c:pt>
                <c:pt idx="6">
                  <c:v>阿拉伯糖湿法2 h</c:v>
                </c:pt>
                <c:pt idx="7">
                  <c:v>阿拉伯糖干法1 h</c:v>
                </c:pt>
                <c:pt idx="8">
                  <c:v>阿拉伯糖干法2 h</c:v>
                </c:pt>
                <c:pt idx="9">
                  <c:v>葡萄糖湿法1 h</c:v>
                </c:pt>
                <c:pt idx="10">
                  <c:v>葡萄糖湿法2 h</c:v>
                </c:pt>
                <c:pt idx="11">
                  <c:v>葡萄糖干法1 h</c:v>
                </c:pt>
                <c:pt idx="12">
                  <c:v>葡萄糖干法2 h</c:v>
                </c:pt>
                <c:pt idx="13">
                  <c:v>乳糖湿法1 h</c:v>
                </c:pt>
                <c:pt idx="14">
                  <c:v>乳糖湿法2 h</c:v>
                </c:pt>
                <c:pt idx="15">
                  <c:v>乳糖干法1 h</c:v>
                </c:pt>
                <c:pt idx="16">
                  <c:v>乳糖干法2 h</c:v>
                </c:pt>
              </c:strCache>
            </c:strRef>
          </c:cat>
          <c:val>
            <c:numRef>
              <c:f>数据整理!$H$14:$H$30</c:f>
              <c:numCache>
                <c:formatCode>General</c:formatCode>
                <c:ptCount val="17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50"/>
        <c:axId val="375266458"/>
        <c:axId val="406032351"/>
      </c:barChart>
      <c:catAx>
        <c:axId val="3752664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032351"/>
        <c:crosses val="autoZero"/>
        <c:auto val="1"/>
        <c:lblAlgn val="ctr"/>
        <c:lblOffset val="100"/>
        <c:noMultiLvlLbl val="0"/>
      </c:catAx>
      <c:valAx>
        <c:axId val="40603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/>
                  <a:t>IgG结合力 (μg/mL)</a:t>
                </a:r>
                <a:endParaRPr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2664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delete val="1"/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0.749399759903962"/>
          <c:y val="0.0939679547596607"/>
          <c:w val="0.146458583433373"/>
          <c:h val="0.10160226201696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cc2021-5972-4d8f-8d10-1f320e513e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 b="1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676275</xdr:colOff>
      <xdr:row>31</xdr:row>
      <xdr:rowOff>111125</xdr:rowOff>
    </xdr:from>
    <xdr:to>
      <xdr:col>11</xdr:col>
      <xdr:colOff>15875</xdr:colOff>
      <xdr:row>47</xdr:row>
      <xdr:rowOff>111125</xdr:rowOff>
    </xdr:to>
    <xdr:graphicFrame>
      <xdr:nvGraphicFramePr>
        <xdr:cNvPr id="3" name="图表 2"/>
        <xdr:cNvGraphicFramePr/>
      </xdr:nvGraphicFramePr>
      <xdr:xfrm>
        <a:off x="2583180" y="5426075"/>
        <a:ext cx="4536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193675</xdr:colOff>
      <xdr:row>13</xdr:row>
      <xdr:rowOff>31750</xdr:rowOff>
    </xdr:from>
    <xdr:to>
      <xdr:col>22</xdr:col>
      <xdr:colOff>165100</xdr:colOff>
      <xdr:row>51</xdr:row>
      <xdr:rowOff>19050</xdr:rowOff>
    </xdr:to>
    <xdr:graphicFrame>
      <xdr:nvGraphicFramePr>
        <xdr:cNvPr id="6" name="图表 5"/>
        <xdr:cNvGraphicFramePr/>
      </xdr:nvGraphicFramePr>
      <xdr:xfrm>
        <a:off x="9900920" y="2260600"/>
        <a:ext cx="9939020" cy="650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631825</xdr:colOff>
      <xdr:row>20</xdr:row>
      <xdr:rowOff>22225</xdr:rowOff>
    </xdr:from>
    <xdr:to>
      <xdr:col>12</xdr:col>
      <xdr:colOff>871855</xdr:colOff>
      <xdr:row>21</xdr:row>
      <xdr:rowOff>59055</xdr:rowOff>
    </xdr:to>
    <xdr:sp>
      <xdr:nvSpPr>
        <xdr:cNvPr id="7" name="文本框 6"/>
        <xdr:cNvSpPr txBox="1"/>
      </xdr:nvSpPr>
      <xdr:spPr>
        <a:xfrm>
          <a:off x="11245215" y="3451225"/>
          <a:ext cx="2400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b</a:t>
          </a:r>
          <a:endParaRPr lang="en-US" altLang="zh-CN"/>
        </a:p>
      </xdr:txBody>
    </xdr:sp>
    <xdr:clientData/>
  </xdr:twoCellAnchor>
  <xdr:twoCellAnchor>
    <xdr:from>
      <xdr:col>13</xdr:col>
      <xdr:colOff>222250</xdr:colOff>
      <xdr:row>21</xdr:row>
      <xdr:rowOff>60325</xdr:rowOff>
    </xdr:from>
    <xdr:to>
      <xdr:col>13</xdr:col>
      <xdr:colOff>567055</xdr:colOff>
      <xdr:row>22</xdr:row>
      <xdr:rowOff>97155</xdr:rowOff>
    </xdr:to>
    <xdr:sp>
      <xdr:nvSpPr>
        <xdr:cNvPr id="8" name="文本框 7"/>
        <xdr:cNvSpPr txBox="1"/>
      </xdr:nvSpPr>
      <xdr:spPr>
        <a:xfrm>
          <a:off x="11741785" y="3660775"/>
          <a:ext cx="344805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bc</a:t>
          </a:r>
          <a:endParaRPr lang="en-US" altLang="zh-CN"/>
        </a:p>
      </xdr:txBody>
    </xdr:sp>
    <xdr:clientData/>
  </xdr:twoCellAnchor>
  <xdr:twoCellAnchor>
    <xdr:from>
      <xdr:col>16</xdr:col>
      <xdr:colOff>279400</xdr:colOff>
      <xdr:row>32</xdr:row>
      <xdr:rowOff>50800</xdr:rowOff>
    </xdr:from>
    <xdr:to>
      <xdr:col>16</xdr:col>
      <xdr:colOff>614680</xdr:colOff>
      <xdr:row>33</xdr:row>
      <xdr:rowOff>106680</xdr:rowOff>
    </xdr:to>
    <xdr:sp>
      <xdr:nvSpPr>
        <xdr:cNvPr id="9" name="文本框 8"/>
        <xdr:cNvSpPr txBox="1"/>
      </xdr:nvSpPr>
      <xdr:spPr>
        <a:xfrm>
          <a:off x="14517370" y="5537200"/>
          <a:ext cx="335280" cy="22733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cd</a:t>
          </a:r>
          <a:endParaRPr lang="en-US" altLang="zh-CN"/>
        </a:p>
      </xdr:txBody>
    </xdr:sp>
    <xdr:clientData/>
  </xdr:twoCellAnchor>
  <xdr:twoCellAnchor>
    <xdr:from>
      <xdr:col>15</xdr:col>
      <xdr:colOff>711200</xdr:colOff>
      <xdr:row>26</xdr:row>
      <xdr:rowOff>6350</xdr:rowOff>
    </xdr:from>
    <xdr:to>
      <xdr:col>16</xdr:col>
      <xdr:colOff>45085</xdr:colOff>
      <xdr:row>27</xdr:row>
      <xdr:rowOff>43180</xdr:rowOff>
    </xdr:to>
    <xdr:sp>
      <xdr:nvSpPr>
        <xdr:cNvPr id="10" name="文本框 9"/>
        <xdr:cNvSpPr txBox="1"/>
      </xdr:nvSpPr>
      <xdr:spPr>
        <a:xfrm>
          <a:off x="14043025" y="4464050"/>
          <a:ext cx="2400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a</a:t>
          </a:r>
          <a:endParaRPr lang="en-US" altLang="zh-CN"/>
        </a:p>
      </xdr:txBody>
    </xdr:sp>
    <xdr:clientData/>
  </xdr:twoCellAnchor>
  <xdr:twoCellAnchor>
    <xdr:from>
      <xdr:col>16</xdr:col>
      <xdr:colOff>163195</xdr:colOff>
      <xdr:row>25</xdr:row>
      <xdr:rowOff>19050</xdr:rowOff>
    </xdr:from>
    <xdr:to>
      <xdr:col>16</xdr:col>
      <xdr:colOff>523240</xdr:colOff>
      <xdr:row>26</xdr:row>
      <xdr:rowOff>65405</xdr:rowOff>
    </xdr:to>
    <xdr:sp>
      <xdr:nvSpPr>
        <xdr:cNvPr id="11" name="文本框 10"/>
        <xdr:cNvSpPr txBox="1"/>
      </xdr:nvSpPr>
      <xdr:spPr>
        <a:xfrm>
          <a:off x="14401165" y="4305300"/>
          <a:ext cx="360045" cy="21780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de</a:t>
          </a:r>
          <a:endParaRPr lang="en-US" altLang="zh-CN"/>
        </a:p>
      </xdr:txBody>
    </xdr:sp>
    <xdr:clientData/>
  </xdr:twoCellAnchor>
  <xdr:twoCellAnchor>
    <xdr:from>
      <xdr:col>15</xdr:col>
      <xdr:colOff>163195</xdr:colOff>
      <xdr:row>25</xdr:row>
      <xdr:rowOff>88900</xdr:rowOff>
    </xdr:from>
    <xdr:to>
      <xdr:col>15</xdr:col>
      <xdr:colOff>355600</xdr:colOff>
      <xdr:row>26</xdr:row>
      <xdr:rowOff>125730</xdr:rowOff>
    </xdr:to>
    <xdr:sp>
      <xdr:nvSpPr>
        <xdr:cNvPr id="12" name="文本框 11"/>
        <xdr:cNvSpPr txBox="1"/>
      </xdr:nvSpPr>
      <xdr:spPr>
        <a:xfrm>
          <a:off x="13495020" y="4375150"/>
          <a:ext cx="192405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a</a:t>
          </a:r>
          <a:endParaRPr lang="en-US" altLang="zh-CN"/>
        </a:p>
      </xdr:txBody>
    </xdr:sp>
    <xdr:clientData/>
  </xdr:twoCellAnchor>
  <xdr:twoCellAnchor>
    <xdr:from>
      <xdr:col>15</xdr:col>
      <xdr:colOff>587375</xdr:colOff>
      <xdr:row>24</xdr:row>
      <xdr:rowOff>6350</xdr:rowOff>
    </xdr:from>
    <xdr:to>
      <xdr:col>15</xdr:col>
      <xdr:colOff>903605</xdr:colOff>
      <xdr:row>25</xdr:row>
      <xdr:rowOff>43180</xdr:rowOff>
    </xdr:to>
    <xdr:sp>
      <xdr:nvSpPr>
        <xdr:cNvPr id="13" name="文本框 12"/>
        <xdr:cNvSpPr txBox="1"/>
      </xdr:nvSpPr>
      <xdr:spPr>
        <a:xfrm>
          <a:off x="13919200" y="4121150"/>
          <a:ext cx="3162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cd</a:t>
          </a:r>
          <a:endParaRPr lang="en-US" altLang="zh-CN"/>
        </a:p>
      </xdr:txBody>
    </xdr:sp>
    <xdr:clientData/>
  </xdr:twoCellAnchor>
  <xdr:twoCellAnchor>
    <xdr:from>
      <xdr:col>15</xdr:col>
      <xdr:colOff>92075</xdr:colOff>
      <xdr:row>21</xdr:row>
      <xdr:rowOff>95250</xdr:rowOff>
    </xdr:from>
    <xdr:to>
      <xdr:col>15</xdr:col>
      <xdr:colOff>276225</xdr:colOff>
      <xdr:row>22</xdr:row>
      <xdr:rowOff>132080</xdr:rowOff>
    </xdr:to>
    <xdr:sp>
      <xdr:nvSpPr>
        <xdr:cNvPr id="14" name="文本框 13"/>
        <xdr:cNvSpPr txBox="1"/>
      </xdr:nvSpPr>
      <xdr:spPr>
        <a:xfrm>
          <a:off x="13423900" y="3695700"/>
          <a:ext cx="18415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b</a:t>
          </a:r>
          <a:endParaRPr lang="en-US" altLang="zh-CN"/>
        </a:p>
      </xdr:txBody>
    </xdr:sp>
    <xdr:clientData/>
  </xdr:twoCellAnchor>
  <xdr:twoCellAnchor>
    <xdr:from>
      <xdr:col>14</xdr:col>
      <xdr:colOff>365125</xdr:colOff>
      <xdr:row>23</xdr:row>
      <xdr:rowOff>3175</xdr:rowOff>
    </xdr:from>
    <xdr:to>
      <xdr:col>14</xdr:col>
      <xdr:colOff>767080</xdr:colOff>
      <xdr:row>24</xdr:row>
      <xdr:rowOff>30480</xdr:rowOff>
    </xdr:to>
    <xdr:sp>
      <xdr:nvSpPr>
        <xdr:cNvPr id="15" name="文本框 14"/>
        <xdr:cNvSpPr txBox="1"/>
      </xdr:nvSpPr>
      <xdr:spPr>
        <a:xfrm>
          <a:off x="12790805" y="3946525"/>
          <a:ext cx="401955" cy="19875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bcd</a:t>
          </a:r>
          <a:endParaRPr lang="en-US" altLang="zh-CN"/>
        </a:p>
      </xdr:txBody>
    </xdr:sp>
    <xdr:clientData/>
  </xdr:twoCellAnchor>
  <xdr:twoCellAnchor>
    <xdr:from>
      <xdr:col>13</xdr:col>
      <xdr:colOff>796925</xdr:colOff>
      <xdr:row>22</xdr:row>
      <xdr:rowOff>34925</xdr:rowOff>
    </xdr:from>
    <xdr:to>
      <xdr:col>14</xdr:col>
      <xdr:colOff>170180</xdr:colOff>
      <xdr:row>23</xdr:row>
      <xdr:rowOff>71755</xdr:rowOff>
    </xdr:to>
    <xdr:sp>
      <xdr:nvSpPr>
        <xdr:cNvPr id="16" name="文本框 15"/>
        <xdr:cNvSpPr txBox="1"/>
      </xdr:nvSpPr>
      <xdr:spPr>
        <a:xfrm>
          <a:off x="12316460" y="3806825"/>
          <a:ext cx="27940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bc</a:t>
          </a:r>
          <a:endParaRPr lang="en-US" altLang="zh-CN"/>
        </a:p>
      </xdr:txBody>
    </xdr:sp>
    <xdr:clientData/>
  </xdr:twoCellAnchor>
  <xdr:twoCellAnchor>
    <xdr:from>
      <xdr:col>18</xdr:col>
      <xdr:colOff>631825</xdr:colOff>
      <xdr:row>31</xdr:row>
      <xdr:rowOff>79375</xdr:rowOff>
    </xdr:from>
    <xdr:to>
      <xdr:col>19</xdr:col>
      <xdr:colOff>118110</xdr:colOff>
      <xdr:row>32</xdr:row>
      <xdr:rowOff>116205</xdr:rowOff>
    </xdr:to>
    <xdr:sp>
      <xdr:nvSpPr>
        <xdr:cNvPr id="17" name="文本框 16"/>
        <xdr:cNvSpPr txBox="1"/>
      </xdr:nvSpPr>
      <xdr:spPr>
        <a:xfrm>
          <a:off x="16682085" y="5394325"/>
          <a:ext cx="3924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cde</a:t>
          </a:r>
          <a:endParaRPr lang="en-US" altLang="zh-CN"/>
        </a:p>
      </xdr:txBody>
    </xdr:sp>
    <xdr:clientData/>
  </xdr:twoCellAnchor>
  <xdr:twoCellAnchor>
    <xdr:from>
      <xdr:col>18</xdr:col>
      <xdr:colOff>511175</xdr:colOff>
      <xdr:row>28</xdr:row>
      <xdr:rowOff>53975</xdr:rowOff>
    </xdr:from>
    <xdr:to>
      <xdr:col>18</xdr:col>
      <xdr:colOff>827405</xdr:colOff>
      <xdr:row>29</xdr:row>
      <xdr:rowOff>109855</xdr:rowOff>
    </xdr:to>
    <xdr:sp>
      <xdr:nvSpPr>
        <xdr:cNvPr id="18" name="文本框 17"/>
        <xdr:cNvSpPr txBox="1"/>
      </xdr:nvSpPr>
      <xdr:spPr>
        <a:xfrm>
          <a:off x="16561435" y="4854575"/>
          <a:ext cx="316230" cy="22733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fg</a:t>
          </a:r>
          <a:endParaRPr lang="en-US" altLang="zh-CN"/>
        </a:p>
      </xdr:txBody>
    </xdr:sp>
    <xdr:clientData/>
  </xdr:twoCellAnchor>
  <xdr:twoCellAnchor>
    <xdr:from>
      <xdr:col>17</xdr:col>
      <xdr:colOff>485775</xdr:colOff>
      <xdr:row>29</xdr:row>
      <xdr:rowOff>76200</xdr:rowOff>
    </xdr:from>
    <xdr:to>
      <xdr:col>17</xdr:col>
      <xdr:colOff>725805</xdr:colOff>
      <xdr:row>30</xdr:row>
      <xdr:rowOff>113030</xdr:rowOff>
    </xdr:to>
    <xdr:sp>
      <xdr:nvSpPr>
        <xdr:cNvPr id="19" name="文本框 18"/>
        <xdr:cNvSpPr txBox="1"/>
      </xdr:nvSpPr>
      <xdr:spPr>
        <a:xfrm>
          <a:off x="15629890" y="5048250"/>
          <a:ext cx="2400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b</a:t>
          </a:r>
          <a:endParaRPr lang="en-US" altLang="zh-CN"/>
        </a:p>
      </xdr:txBody>
    </xdr:sp>
    <xdr:clientData/>
  </xdr:twoCellAnchor>
  <xdr:twoCellAnchor>
    <xdr:from>
      <xdr:col>17</xdr:col>
      <xdr:colOff>317500</xdr:colOff>
      <xdr:row>26</xdr:row>
      <xdr:rowOff>79375</xdr:rowOff>
    </xdr:from>
    <xdr:to>
      <xdr:col>17</xdr:col>
      <xdr:colOff>633730</xdr:colOff>
      <xdr:row>27</xdr:row>
      <xdr:rowOff>116205</xdr:rowOff>
    </xdr:to>
    <xdr:sp>
      <xdr:nvSpPr>
        <xdr:cNvPr id="20" name="文本框 19"/>
        <xdr:cNvSpPr txBox="1"/>
      </xdr:nvSpPr>
      <xdr:spPr>
        <a:xfrm>
          <a:off x="15461615" y="4537075"/>
          <a:ext cx="3162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ef</a:t>
          </a:r>
          <a:endParaRPr lang="en-US" altLang="zh-CN"/>
        </a:p>
      </xdr:txBody>
    </xdr:sp>
    <xdr:clientData/>
  </xdr:twoCellAnchor>
  <xdr:twoCellAnchor>
    <xdr:from>
      <xdr:col>18</xdr:col>
      <xdr:colOff>136525</xdr:colOff>
      <xdr:row>31</xdr:row>
      <xdr:rowOff>6350</xdr:rowOff>
    </xdr:from>
    <xdr:to>
      <xdr:col>18</xdr:col>
      <xdr:colOff>424815</xdr:colOff>
      <xdr:row>32</xdr:row>
      <xdr:rowOff>52705</xdr:rowOff>
    </xdr:to>
    <xdr:sp>
      <xdr:nvSpPr>
        <xdr:cNvPr id="21" name="文本框 20"/>
        <xdr:cNvSpPr txBox="1"/>
      </xdr:nvSpPr>
      <xdr:spPr>
        <a:xfrm>
          <a:off x="16186785" y="5321300"/>
          <a:ext cx="288290" cy="21780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bc</a:t>
          </a:r>
          <a:endParaRPr lang="en-US" altLang="zh-CN"/>
        </a:p>
      </xdr:txBody>
    </xdr:sp>
    <xdr:clientData/>
  </xdr:twoCellAnchor>
  <xdr:twoCellAnchor>
    <xdr:from>
      <xdr:col>16</xdr:col>
      <xdr:colOff>885825</xdr:colOff>
      <xdr:row>33</xdr:row>
      <xdr:rowOff>57150</xdr:rowOff>
    </xdr:from>
    <xdr:to>
      <xdr:col>17</xdr:col>
      <xdr:colOff>316230</xdr:colOff>
      <xdr:row>34</xdr:row>
      <xdr:rowOff>103505</xdr:rowOff>
    </xdr:to>
    <xdr:sp>
      <xdr:nvSpPr>
        <xdr:cNvPr id="22" name="文本框 21"/>
        <xdr:cNvSpPr txBox="1"/>
      </xdr:nvSpPr>
      <xdr:spPr>
        <a:xfrm>
          <a:off x="15123795" y="5715000"/>
          <a:ext cx="336550" cy="21780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def</a:t>
          </a:r>
          <a:endParaRPr lang="en-US" altLang="zh-CN"/>
        </a:p>
      </xdr:txBody>
    </xdr:sp>
    <xdr:clientData/>
  </xdr:twoCellAnchor>
  <xdr:twoCellAnchor>
    <xdr:from>
      <xdr:col>18</xdr:col>
      <xdr:colOff>28575</xdr:colOff>
      <xdr:row>27</xdr:row>
      <xdr:rowOff>50800</xdr:rowOff>
    </xdr:from>
    <xdr:to>
      <xdr:col>18</xdr:col>
      <xdr:colOff>269875</xdr:colOff>
      <xdr:row>28</xdr:row>
      <xdr:rowOff>87630</xdr:rowOff>
    </xdr:to>
    <xdr:sp>
      <xdr:nvSpPr>
        <xdr:cNvPr id="23" name="文本框 22"/>
        <xdr:cNvSpPr txBox="1"/>
      </xdr:nvSpPr>
      <xdr:spPr>
        <a:xfrm>
          <a:off x="16078835" y="4679950"/>
          <a:ext cx="24130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f</a:t>
          </a:r>
          <a:endParaRPr lang="en-US" altLang="zh-CN"/>
        </a:p>
      </xdr:txBody>
    </xdr:sp>
    <xdr:clientData/>
  </xdr:twoCellAnchor>
  <xdr:twoCellAnchor>
    <xdr:from>
      <xdr:col>16</xdr:col>
      <xdr:colOff>768350</xdr:colOff>
      <xdr:row>32</xdr:row>
      <xdr:rowOff>63500</xdr:rowOff>
    </xdr:from>
    <xdr:to>
      <xdr:col>17</xdr:col>
      <xdr:colOff>102235</xdr:colOff>
      <xdr:row>33</xdr:row>
      <xdr:rowOff>100330</xdr:rowOff>
    </xdr:to>
    <xdr:sp>
      <xdr:nvSpPr>
        <xdr:cNvPr id="24" name="文本框 23"/>
        <xdr:cNvSpPr txBox="1"/>
      </xdr:nvSpPr>
      <xdr:spPr>
        <a:xfrm>
          <a:off x="15006320" y="5549900"/>
          <a:ext cx="2400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h</a:t>
          </a:r>
          <a:endParaRPr lang="en-US" altLang="zh-CN"/>
        </a:p>
      </xdr:txBody>
    </xdr:sp>
    <xdr:clientData/>
  </xdr:twoCellAnchor>
  <xdr:twoCellAnchor>
    <xdr:from>
      <xdr:col>21</xdr:col>
      <xdr:colOff>450850</xdr:colOff>
      <xdr:row>30</xdr:row>
      <xdr:rowOff>41275</xdr:rowOff>
    </xdr:from>
    <xdr:to>
      <xdr:col>21</xdr:col>
      <xdr:colOff>690880</xdr:colOff>
      <xdr:row>31</xdr:row>
      <xdr:rowOff>78105</xdr:rowOff>
    </xdr:to>
    <xdr:sp>
      <xdr:nvSpPr>
        <xdr:cNvPr id="25" name="文本框 24"/>
        <xdr:cNvSpPr txBox="1"/>
      </xdr:nvSpPr>
      <xdr:spPr>
        <a:xfrm>
          <a:off x="19219545" y="5184775"/>
          <a:ext cx="2400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h</a:t>
          </a:r>
          <a:endParaRPr lang="en-US" altLang="zh-CN"/>
        </a:p>
      </xdr:txBody>
    </xdr:sp>
    <xdr:clientData/>
  </xdr:twoCellAnchor>
  <xdr:twoCellAnchor>
    <xdr:from>
      <xdr:col>21</xdr:col>
      <xdr:colOff>60325</xdr:colOff>
      <xdr:row>34</xdr:row>
      <xdr:rowOff>63500</xdr:rowOff>
    </xdr:from>
    <xdr:to>
      <xdr:col>21</xdr:col>
      <xdr:colOff>481965</xdr:colOff>
      <xdr:row>35</xdr:row>
      <xdr:rowOff>100330</xdr:rowOff>
    </xdr:to>
    <xdr:sp>
      <xdr:nvSpPr>
        <xdr:cNvPr id="26" name="文本框 25"/>
        <xdr:cNvSpPr txBox="1"/>
      </xdr:nvSpPr>
      <xdr:spPr>
        <a:xfrm>
          <a:off x="18829020" y="5892800"/>
          <a:ext cx="42164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efgh</a:t>
          </a:r>
          <a:endParaRPr lang="en-US" altLang="zh-CN"/>
        </a:p>
      </xdr:txBody>
    </xdr:sp>
    <xdr:clientData/>
  </xdr:twoCellAnchor>
  <xdr:twoCellAnchor>
    <xdr:from>
      <xdr:col>20</xdr:col>
      <xdr:colOff>847725</xdr:colOff>
      <xdr:row>32</xdr:row>
      <xdr:rowOff>114300</xdr:rowOff>
    </xdr:from>
    <xdr:to>
      <xdr:col>21</xdr:col>
      <xdr:colOff>165100</xdr:colOff>
      <xdr:row>33</xdr:row>
      <xdr:rowOff>151130</xdr:rowOff>
    </xdr:to>
    <xdr:sp>
      <xdr:nvSpPr>
        <xdr:cNvPr id="27" name="文本框 26"/>
        <xdr:cNvSpPr txBox="1"/>
      </xdr:nvSpPr>
      <xdr:spPr>
        <a:xfrm>
          <a:off x="18710275" y="5600700"/>
          <a:ext cx="22352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h</a:t>
          </a:r>
          <a:endParaRPr lang="en-US" altLang="zh-CN"/>
        </a:p>
      </xdr:txBody>
    </xdr:sp>
    <xdr:clientData/>
  </xdr:twoCellAnchor>
  <xdr:twoCellAnchor>
    <xdr:from>
      <xdr:col>20</xdr:col>
      <xdr:colOff>422275</xdr:colOff>
      <xdr:row>33</xdr:row>
      <xdr:rowOff>98425</xdr:rowOff>
    </xdr:from>
    <xdr:to>
      <xdr:col>20</xdr:col>
      <xdr:colOff>833755</xdr:colOff>
      <xdr:row>34</xdr:row>
      <xdr:rowOff>154305</xdr:rowOff>
    </xdr:to>
    <xdr:sp>
      <xdr:nvSpPr>
        <xdr:cNvPr id="28" name="文本框 27"/>
        <xdr:cNvSpPr txBox="1"/>
      </xdr:nvSpPr>
      <xdr:spPr>
        <a:xfrm>
          <a:off x="18284825" y="5756275"/>
          <a:ext cx="411480" cy="22733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fgh</a:t>
          </a:r>
          <a:endParaRPr lang="en-US" altLang="zh-CN"/>
        </a:p>
      </xdr:txBody>
    </xdr:sp>
    <xdr:clientData/>
  </xdr:twoCellAnchor>
  <xdr:twoCellAnchor>
    <xdr:from>
      <xdr:col>21</xdr:col>
      <xdr:colOff>596900</xdr:colOff>
      <xdr:row>36</xdr:row>
      <xdr:rowOff>82550</xdr:rowOff>
    </xdr:from>
    <xdr:to>
      <xdr:col>21</xdr:col>
      <xdr:colOff>836930</xdr:colOff>
      <xdr:row>37</xdr:row>
      <xdr:rowOff>119380</xdr:rowOff>
    </xdr:to>
    <xdr:sp>
      <xdr:nvSpPr>
        <xdr:cNvPr id="29" name="文本框 28"/>
        <xdr:cNvSpPr txBox="1"/>
      </xdr:nvSpPr>
      <xdr:spPr>
        <a:xfrm>
          <a:off x="19365595" y="6254750"/>
          <a:ext cx="2400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h</a:t>
          </a:r>
          <a:endParaRPr lang="en-US" altLang="zh-CN"/>
        </a:p>
      </xdr:txBody>
    </xdr:sp>
    <xdr:clientData/>
  </xdr:twoCellAnchor>
  <xdr:twoCellAnchor>
    <xdr:from>
      <xdr:col>19</xdr:col>
      <xdr:colOff>800100</xdr:colOff>
      <xdr:row>35</xdr:row>
      <xdr:rowOff>85725</xdr:rowOff>
    </xdr:from>
    <xdr:to>
      <xdr:col>20</xdr:col>
      <xdr:colOff>248285</xdr:colOff>
      <xdr:row>36</xdr:row>
      <xdr:rowOff>122555</xdr:rowOff>
    </xdr:to>
    <xdr:sp>
      <xdr:nvSpPr>
        <xdr:cNvPr id="30" name="文本框 29"/>
        <xdr:cNvSpPr txBox="1"/>
      </xdr:nvSpPr>
      <xdr:spPr>
        <a:xfrm>
          <a:off x="17756505" y="6086475"/>
          <a:ext cx="354330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gh</a:t>
          </a:r>
          <a:endParaRPr lang="en-US" altLang="zh-CN"/>
        </a:p>
      </xdr:txBody>
    </xdr:sp>
    <xdr:clientData/>
  </xdr:twoCellAnchor>
  <xdr:twoCellAnchor>
    <xdr:from>
      <xdr:col>20</xdr:col>
      <xdr:colOff>288925</xdr:colOff>
      <xdr:row>30</xdr:row>
      <xdr:rowOff>50800</xdr:rowOff>
    </xdr:from>
    <xdr:to>
      <xdr:col>20</xdr:col>
      <xdr:colOff>614680</xdr:colOff>
      <xdr:row>31</xdr:row>
      <xdr:rowOff>87630</xdr:rowOff>
    </xdr:to>
    <xdr:sp>
      <xdr:nvSpPr>
        <xdr:cNvPr id="31" name="文本框 30"/>
        <xdr:cNvSpPr txBox="1"/>
      </xdr:nvSpPr>
      <xdr:spPr>
        <a:xfrm>
          <a:off x="18151475" y="5194300"/>
          <a:ext cx="325755" cy="20828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h</a:t>
          </a:r>
          <a:endParaRPr lang="en-US" altLang="zh-CN"/>
        </a:p>
      </xdr:txBody>
    </xdr:sp>
    <xdr:clientData/>
  </xdr:twoCellAnchor>
  <xdr:twoCellAnchor>
    <xdr:from>
      <xdr:col>19</xdr:col>
      <xdr:colOff>263525</xdr:colOff>
      <xdr:row>33</xdr:row>
      <xdr:rowOff>130175</xdr:rowOff>
    </xdr:from>
    <xdr:to>
      <xdr:col>19</xdr:col>
      <xdr:colOff>760730</xdr:colOff>
      <xdr:row>35</xdr:row>
      <xdr:rowOff>14605</xdr:rowOff>
    </xdr:to>
    <xdr:sp>
      <xdr:nvSpPr>
        <xdr:cNvPr id="32" name="文本框 31"/>
        <xdr:cNvSpPr txBox="1"/>
      </xdr:nvSpPr>
      <xdr:spPr>
        <a:xfrm>
          <a:off x="17219930" y="5788025"/>
          <a:ext cx="497205" cy="22733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defg</a:t>
          </a:r>
          <a:endParaRPr lang="en-US" altLang="zh-CN"/>
        </a:p>
      </xdr:txBody>
    </xdr:sp>
    <xdr:clientData/>
  </xdr:twoCellAnchor>
  <xdr:twoCellAnchor>
    <xdr:from>
      <xdr:col>19</xdr:col>
      <xdr:colOff>676275</xdr:colOff>
      <xdr:row>26</xdr:row>
      <xdr:rowOff>76200</xdr:rowOff>
    </xdr:from>
    <xdr:to>
      <xdr:col>20</xdr:col>
      <xdr:colOff>124460</xdr:colOff>
      <xdr:row>27</xdr:row>
      <xdr:rowOff>122555</xdr:rowOff>
    </xdr:to>
    <xdr:sp>
      <xdr:nvSpPr>
        <xdr:cNvPr id="33" name="文本框 32"/>
        <xdr:cNvSpPr txBox="1"/>
      </xdr:nvSpPr>
      <xdr:spPr>
        <a:xfrm>
          <a:off x="17632680" y="4533900"/>
          <a:ext cx="354330" cy="21780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ef</a:t>
          </a:r>
          <a:endParaRPr lang="en-US" altLang="zh-CN"/>
        </a:p>
      </xdr:txBody>
    </xdr:sp>
    <xdr:clientData/>
  </xdr:twoCellAnchor>
  <xdr:twoCellAnchor>
    <xdr:from>
      <xdr:col>19</xdr:col>
      <xdr:colOff>133350</xdr:colOff>
      <xdr:row>30</xdr:row>
      <xdr:rowOff>79375</xdr:rowOff>
    </xdr:from>
    <xdr:to>
      <xdr:col>19</xdr:col>
      <xdr:colOff>535940</xdr:colOff>
      <xdr:row>31</xdr:row>
      <xdr:rowOff>125730</xdr:rowOff>
    </xdr:to>
    <xdr:sp>
      <xdr:nvSpPr>
        <xdr:cNvPr id="34" name="文本框 33"/>
        <xdr:cNvSpPr txBox="1"/>
      </xdr:nvSpPr>
      <xdr:spPr>
        <a:xfrm>
          <a:off x="17089755" y="5222875"/>
          <a:ext cx="402590" cy="21780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gh</a:t>
          </a:r>
          <a:endParaRPr lang="en-US" altLang="zh-CN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0.0789308498836018</cdr:x>
      <cdr:y>0.116739256892083</cdr:y>
    </cdr:from>
    <cdr:to>
      <cdr:x>0.101739973533062</cdr:x>
      <cdr:y>0.148784497231386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832511" y="759085"/>
          <a:ext cx="240576" cy="208371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US" altLang="zh-CN"/>
            <a:t>a</a:t>
          </a:r>
          <a:endParaRPr lang="en-US" altLang="zh-CN"/>
        </a:p>
      </cdr:txBody>
    </cdr:sp>
  </cdr:relSizeAnchor>
</c:userShap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workbookViewId="0">
      <selection activeCell="C31" sqref="C31"/>
    </sheetView>
  </sheetViews>
  <sheetFormatPr defaultColWidth="9" defaultRowHeight="13.5"/>
  <sheetData>
    <row r="1" spans="1:21">
      <c r="A1" s="8" t="s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O1" s="8" t="s">
        <v>0</v>
      </c>
      <c r="P1" s="8">
        <v>1</v>
      </c>
      <c r="Q1" s="8">
        <v>2</v>
      </c>
      <c r="R1" s="8">
        <v>3</v>
      </c>
      <c r="S1" s="8">
        <v>4</v>
      </c>
      <c r="T1" s="8">
        <v>5</v>
      </c>
      <c r="U1" s="8">
        <v>6</v>
      </c>
    </row>
    <row r="2" spans="1:21">
      <c r="A2" s="8" t="s">
        <v>1</v>
      </c>
      <c r="B2">
        <v>0.613749980926514</v>
      </c>
      <c r="C2">
        <v>0.501049995422363</v>
      </c>
      <c r="D2">
        <v>0.38484999537468</v>
      </c>
      <c r="E2" s="4">
        <v>0.42439998626709</v>
      </c>
      <c r="F2" s="4">
        <v>0.435499994754791</v>
      </c>
      <c r="G2" s="4">
        <v>0.439266664187113</v>
      </c>
      <c r="H2" s="4">
        <v>0.475266683896383</v>
      </c>
      <c r="I2" s="4">
        <v>0.482133329709371</v>
      </c>
      <c r="J2">
        <v>0.497066656748454</v>
      </c>
      <c r="K2" s="4">
        <v>0.473000023365021</v>
      </c>
      <c r="L2" s="4">
        <v>0.478900005817413</v>
      </c>
      <c r="M2" s="4">
        <v>0.504749994277954</v>
      </c>
      <c r="O2" s="8" t="s">
        <v>1</v>
      </c>
      <c r="P2">
        <v>0.523500025272369</v>
      </c>
      <c r="Q2" s="4">
        <v>0.506549985408783</v>
      </c>
      <c r="R2">
        <v>0.519749999046326</v>
      </c>
      <c r="S2" s="4">
        <v>0.566050016880035</v>
      </c>
      <c r="T2">
        <v>0.528249979019165</v>
      </c>
      <c r="U2" s="4">
        <v>0.42314998626709</v>
      </c>
    </row>
    <row r="3" spans="1:21">
      <c r="A3" s="8" t="s">
        <v>2</v>
      </c>
      <c r="B3">
        <v>0.563849985599518</v>
      </c>
      <c r="C3">
        <v>0.490599989891052</v>
      </c>
      <c r="D3">
        <v>0.363999992609024</v>
      </c>
      <c r="E3" s="4">
        <v>0.456333332061768</v>
      </c>
      <c r="F3" s="4">
        <v>0.448974994421005</v>
      </c>
      <c r="G3" s="4">
        <v>0.459533314704895</v>
      </c>
      <c r="H3" s="4">
        <v>0.468600002924601</v>
      </c>
      <c r="I3" s="4">
        <v>0.478600004514058</v>
      </c>
      <c r="J3">
        <v>0.477833350499471</v>
      </c>
      <c r="K3" s="4">
        <v>0.48910001039505</v>
      </c>
      <c r="L3" s="4">
        <v>0.496399997472763</v>
      </c>
      <c r="M3" s="4">
        <v>0.503549990653992</v>
      </c>
      <c r="O3" s="8" t="s">
        <v>2</v>
      </c>
      <c r="P3" s="4">
        <v>0.517899988889694</v>
      </c>
      <c r="Q3">
        <v>0.485449999570847</v>
      </c>
      <c r="R3">
        <v>0.523249983787537</v>
      </c>
      <c r="S3" s="4">
        <v>0.539750003814697</v>
      </c>
      <c r="T3">
        <v>0.498950004577637</v>
      </c>
      <c r="U3" s="4">
        <v>0.443049998283386</v>
      </c>
    </row>
    <row r="4" spans="1:21">
      <c r="A4" s="8" t="s">
        <v>3</v>
      </c>
      <c r="B4">
        <v>0.507149994373322</v>
      </c>
      <c r="C4">
        <v>0.453399986028671</v>
      </c>
      <c r="D4">
        <v>0.333950012922287</v>
      </c>
      <c r="E4" s="4">
        <v>0.410033329327901</v>
      </c>
      <c r="F4" s="4">
        <v>0.431549994945526</v>
      </c>
      <c r="G4" s="4">
        <v>0.436966648101807</v>
      </c>
      <c r="H4">
        <v>0.457333326339722</v>
      </c>
      <c r="I4" s="4">
        <v>0.467500009536743</v>
      </c>
      <c r="J4">
        <v>0.517300009727478</v>
      </c>
      <c r="K4">
        <v>0.462900012731552</v>
      </c>
      <c r="L4" s="4">
        <v>0.4744500041008</v>
      </c>
      <c r="M4" s="4">
        <v>0.492850012779236</v>
      </c>
      <c r="O4" s="8" t="s">
        <v>3</v>
      </c>
      <c r="P4" s="4">
        <v>0.535550004243851</v>
      </c>
      <c r="Q4" s="4">
        <v>0.493850001096725</v>
      </c>
      <c r="R4">
        <v>0.466100007295609</v>
      </c>
      <c r="S4" s="4">
        <v>0.535000028610229</v>
      </c>
      <c r="T4" s="4">
        <v>0.507200011014938</v>
      </c>
      <c r="U4">
        <v>0.433200001716614</v>
      </c>
    </row>
    <row r="5" spans="1:21">
      <c r="A5" s="8" t="s">
        <v>4</v>
      </c>
      <c r="B5">
        <v>0.569199979305267</v>
      </c>
      <c r="C5">
        <v>0.483200013637543</v>
      </c>
      <c r="D5">
        <v>0.366699993610382</v>
      </c>
      <c r="E5" s="4">
        <v>0.459266686439514</v>
      </c>
      <c r="F5" s="4">
        <v>0.458675005435944</v>
      </c>
      <c r="G5" s="4">
        <v>0.459066659609477</v>
      </c>
      <c r="H5">
        <v>0.479066650072734</v>
      </c>
      <c r="I5">
        <v>0.469033320744832</v>
      </c>
      <c r="J5">
        <v>0.52620001633962</v>
      </c>
      <c r="K5" s="4">
        <v>0.482199988365173</v>
      </c>
      <c r="L5">
        <v>0.558350026607513</v>
      </c>
      <c r="M5">
        <v>0.469449996948242</v>
      </c>
      <c r="O5" s="8" t="s">
        <v>4</v>
      </c>
      <c r="P5">
        <v>0.479600012302399</v>
      </c>
      <c r="Q5">
        <v>0.491349995136261</v>
      </c>
      <c r="R5">
        <v>0.513199985027313</v>
      </c>
      <c r="S5" s="4">
        <v>0.555350029468536</v>
      </c>
      <c r="T5">
        <v>0.540650010108948</v>
      </c>
      <c r="U5" s="4">
        <v>0.45424998998642</v>
      </c>
    </row>
    <row r="6" spans="1:21">
      <c r="A6" s="8" t="s">
        <v>5</v>
      </c>
      <c r="B6">
        <v>0.546599984169006</v>
      </c>
      <c r="C6">
        <v>0.430099993944168</v>
      </c>
      <c r="D6">
        <v>0.27590000629425</v>
      </c>
      <c r="E6" s="4">
        <v>0.453249998092651</v>
      </c>
      <c r="F6" s="4">
        <v>0.455600025653839</v>
      </c>
      <c r="G6" s="4">
        <v>0.451250009536743</v>
      </c>
      <c r="H6">
        <v>0.526199996471405</v>
      </c>
      <c r="I6">
        <v>0.526449978351593</v>
      </c>
      <c r="J6" s="4">
        <v>0.518600006103516</v>
      </c>
      <c r="K6">
        <v>0.56784999370575</v>
      </c>
      <c r="L6">
        <v>0.506250023841858</v>
      </c>
      <c r="M6" s="4">
        <v>0.503700007200241</v>
      </c>
      <c r="O6" s="8" t="s">
        <v>5</v>
      </c>
      <c r="P6" s="4">
        <v>0.523399987220764</v>
      </c>
      <c r="Q6">
        <v>0.515100002288818</v>
      </c>
      <c r="R6">
        <v>0.527199983596802</v>
      </c>
      <c r="S6">
        <v>0.530900001525879</v>
      </c>
      <c r="T6">
        <v>0.537349998950958</v>
      </c>
      <c r="U6" s="1">
        <v>0.0678000003099442</v>
      </c>
    </row>
    <row r="7" spans="1:21">
      <c r="A7" s="8" t="s">
        <v>6</v>
      </c>
      <c r="B7">
        <v>0.518700003623962</v>
      </c>
      <c r="C7">
        <v>0.429549992084503</v>
      </c>
      <c r="D7">
        <v>0.242200002074242</v>
      </c>
      <c r="E7" s="4">
        <v>0.465700006484985</v>
      </c>
      <c r="F7" s="4">
        <v>0.46549999833107</v>
      </c>
      <c r="G7" s="4">
        <v>0.472749979496002</v>
      </c>
      <c r="H7">
        <v>0.483200013637543</v>
      </c>
      <c r="I7">
        <v>0.481249988079071</v>
      </c>
      <c r="J7" s="4">
        <v>0.529350010156631</v>
      </c>
      <c r="K7">
        <v>0.492900013923645</v>
      </c>
      <c r="L7" s="4">
        <v>0.50775000333786</v>
      </c>
      <c r="M7" s="4">
        <v>0.520050007104874</v>
      </c>
      <c r="O7" s="8" t="s">
        <v>6</v>
      </c>
      <c r="P7" s="4">
        <v>0.50325000166893</v>
      </c>
      <c r="Q7">
        <v>0.5069500207901</v>
      </c>
      <c r="R7">
        <v>0.497249990701675</v>
      </c>
      <c r="S7">
        <v>0.506150007247925</v>
      </c>
      <c r="T7">
        <v>0.512199997901917</v>
      </c>
      <c r="U7" s="1">
        <v>0.0891000032424927</v>
      </c>
    </row>
    <row r="8" spans="1:21">
      <c r="A8" s="8" t="s">
        <v>7</v>
      </c>
      <c r="B8" s="4">
        <v>0.498349993228912</v>
      </c>
      <c r="C8">
        <v>0.379099994897842</v>
      </c>
      <c r="D8">
        <v>0.22945000231266</v>
      </c>
      <c r="E8" s="4">
        <v>0.439849977493286</v>
      </c>
      <c r="F8" s="4">
        <v>0.45754997253418</v>
      </c>
      <c r="G8">
        <v>0.453399986028671</v>
      </c>
      <c r="H8" s="4">
        <v>0.506200015544891</v>
      </c>
      <c r="I8" s="4">
        <v>0.465099989175797</v>
      </c>
      <c r="J8" s="4">
        <v>0.537549990415573</v>
      </c>
      <c r="K8">
        <v>0.474200010299683</v>
      </c>
      <c r="L8">
        <v>0.50330001115799</v>
      </c>
      <c r="M8" s="4">
        <v>0.508199998140335</v>
      </c>
      <c r="O8" s="8" t="s">
        <v>7</v>
      </c>
      <c r="P8" s="4">
        <v>0.546200014352798</v>
      </c>
      <c r="Q8">
        <v>0.544749975204468</v>
      </c>
      <c r="R8">
        <v>0.513750016689301</v>
      </c>
      <c r="S8">
        <v>0.549799978733063</v>
      </c>
      <c r="T8" s="4">
        <v>0.562150013446808</v>
      </c>
      <c r="U8" s="1">
        <v>0.0762000009417534</v>
      </c>
    </row>
    <row r="9" spans="1:21">
      <c r="A9" s="8" t="s">
        <v>8</v>
      </c>
      <c r="B9" s="4">
        <v>0.516300022602081</v>
      </c>
      <c r="C9">
        <v>0.441399991512299</v>
      </c>
      <c r="D9">
        <v>0.248349994421005</v>
      </c>
      <c r="E9" s="4">
        <v>0.469850008487701</v>
      </c>
      <c r="F9" s="4">
        <v>0.500500025749207</v>
      </c>
      <c r="G9">
        <v>0.486299991607666</v>
      </c>
      <c r="H9" s="4">
        <v>0.536850016117096</v>
      </c>
      <c r="I9">
        <v>0.483550012111664</v>
      </c>
      <c r="J9">
        <v>0.560500025749207</v>
      </c>
      <c r="K9">
        <v>0.502099990844727</v>
      </c>
      <c r="L9" s="4">
        <v>0.546049973964691</v>
      </c>
      <c r="M9">
        <v>0.540300011634827</v>
      </c>
      <c r="O9" s="8" t="s">
        <v>8</v>
      </c>
      <c r="P9">
        <v>0.561900019645691</v>
      </c>
      <c r="Q9">
        <v>0.60164999961853</v>
      </c>
      <c r="R9">
        <v>0.558799982070923</v>
      </c>
      <c r="S9">
        <v>0.56029999256134</v>
      </c>
      <c r="T9">
        <v>0.566600024700165</v>
      </c>
      <c r="U9" s="1">
        <v>0.100900001823902</v>
      </c>
    </row>
    <row r="13" spans="1:21">
      <c r="A13" s="8" t="s">
        <v>0</v>
      </c>
      <c r="B13" s="8">
        <v>1</v>
      </c>
      <c r="C13" s="8">
        <v>2</v>
      </c>
      <c r="D13" s="8">
        <v>3</v>
      </c>
      <c r="E13" s="8">
        <v>4</v>
      </c>
      <c r="F13" s="8">
        <v>5</v>
      </c>
      <c r="G13" s="8">
        <v>6</v>
      </c>
      <c r="H13" s="8">
        <v>7</v>
      </c>
      <c r="I13" s="8">
        <v>8</v>
      </c>
      <c r="J13" s="8">
        <v>9</v>
      </c>
      <c r="K13" s="8">
        <v>10</v>
      </c>
      <c r="L13" s="8">
        <v>11</v>
      </c>
      <c r="M13" s="8">
        <v>12</v>
      </c>
      <c r="O13" s="8" t="s">
        <v>0</v>
      </c>
      <c r="P13" s="8">
        <v>1</v>
      </c>
      <c r="Q13" s="8">
        <v>2</v>
      </c>
      <c r="R13" s="8">
        <v>3</v>
      </c>
      <c r="S13" s="8">
        <v>4</v>
      </c>
      <c r="T13" s="8">
        <v>5</v>
      </c>
      <c r="U13" s="8">
        <v>6</v>
      </c>
    </row>
    <row r="14" spans="1:21">
      <c r="A14" s="8" t="s">
        <v>1</v>
      </c>
      <c r="B14" s="1">
        <v>0.0579999983310699</v>
      </c>
      <c r="C14" s="1">
        <v>0.0653000026941299</v>
      </c>
      <c r="D14" s="1">
        <v>0.0690999999642372</v>
      </c>
      <c r="E14" s="1">
        <v>0.0447999984025955</v>
      </c>
      <c r="F14" s="1">
        <v>0.0428000018000603</v>
      </c>
      <c r="G14" s="1">
        <v>0.0480999983847141</v>
      </c>
      <c r="H14" s="1">
        <v>0.050500001758337</v>
      </c>
      <c r="I14" s="1">
        <v>0.0571999996900558</v>
      </c>
      <c r="J14" s="1">
        <v>0.0557999983429909</v>
      </c>
      <c r="K14" s="1">
        <v>0.0518999993801117</v>
      </c>
      <c r="L14" s="1">
        <v>0.0562999993562698</v>
      </c>
      <c r="M14" s="1">
        <v>0.0667999982833862</v>
      </c>
      <c r="O14" s="8" t="s">
        <v>1</v>
      </c>
      <c r="P14" s="1">
        <v>0.0662999972701073</v>
      </c>
      <c r="Q14" s="1">
        <v>0.0696000009775162</v>
      </c>
      <c r="R14" s="1">
        <v>0.0656000003218651</v>
      </c>
      <c r="S14" s="1">
        <v>0.0454000011086464</v>
      </c>
      <c r="T14" s="1">
        <v>0.0489000007510185</v>
      </c>
      <c r="U14" s="1">
        <v>0.0504000000655651</v>
      </c>
    </row>
    <row r="15" spans="1:21">
      <c r="A15" s="8" t="s">
        <v>2</v>
      </c>
      <c r="B15" s="1">
        <v>0.0684999972581863</v>
      </c>
      <c r="C15" s="1">
        <v>0.0781999975442886</v>
      </c>
      <c r="D15" s="1">
        <v>0.0756999999284744</v>
      </c>
      <c r="E15" s="1">
        <v>0.066100001335144</v>
      </c>
      <c r="F15" s="1">
        <v>0.067500002682209</v>
      </c>
      <c r="G15" s="1">
        <v>0.0715000033378601</v>
      </c>
      <c r="H15" s="1">
        <v>0.0689999982714653</v>
      </c>
      <c r="I15" s="1">
        <v>0.0718000009655952</v>
      </c>
      <c r="J15" s="1">
        <v>0.063900001347065</v>
      </c>
      <c r="K15" s="1">
        <v>0.0697999969124794</v>
      </c>
      <c r="L15" s="1">
        <v>0.0719000026583672</v>
      </c>
      <c r="M15" s="1">
        <v>0.0817999988794327</v>
      </c>
      <c r="O15" s="8" t="s">
        <v>2</v>
      </c>
      <c r="P15" s="1">
        <v>0.0852999985218048</v>
      </c>
      <c r="Q15" s="1">
        <v>0.0781999975442886</v>
      </c>
      <c r="R15" s="1">
        <v>0.0674000009894371</v>
      </c>
      <c r="S15" s="1">
        <v>0.0667999982833862</v>
      </c>
      <c r="T15" s="1">
        <v>0.0672999992966652</v>
      </c>
      <c r="U15" s="1">
        <v>0.0663999989628792</v>
      </c>
    </row>
    <row r="16" spans="1:21">
      <c r="A16" s="8" t="s">
        <v>3</v>
      </c>
      <c r="B16" s="1">
        <v>0.0557999983429909</v>
      </c>
      <c r="C16" s="1">
        <v>0.0679000020027161</v>
      </c>
      <c r="D16" s="1">
        <v>0.066600002348423</v>
      </c>
      <c r="E16" s="1">
        <v>0.0412000007927418</v>
      </c>
      <c r="F16" s="1">
        <v>0.0438000001013279</v>
      </c>
      <c r="G16" s="1">
        <v>0.0513000003993511</v>
      </c>
      <c r="H16" s="1">
        <v>0.0527000017464161</v>
      </c>
      <c r="I16" s="1">
        <v>0.0535000003874302</v>
      </c>
      <c r="J16" s="1">
        <v>0.061999998986721</v>
      </c>
      <c r="K16" s="1">
        <v>0.0566999986767769</v>
      </c>
      <c r="L16" s="1">
        <v>0.0595999993383884</v>
      </c>
      <c r="M16" s="1">
        <v>0.0637999996542931</v>
      </c>
      <c r="O16" s="8" t="s">
        <v>3</v>
      </c>
      <c r="P16" s="1">
        <v>0.0697999969124794</v>
      </c>
      <c r="Q16" s="1">
        <v>0.0725999996066093</v>
      </c>
      <c r="R16" s="1">
        <v>0.0706000030040741</v>
      </c>
      <c r="S16" s="1">
        <v>0.0423999987542629</v>
      </c>
      <c r="T16" s="1">
        <v>0.0469999983906746</v>
      </c>
      <c r="U16" s="1">
        <v>0.0485999993979931</v>
      </c>
    </row>
    <row r="17" spans="1:21">
      <c r="A17" s="8" t="s">
        <v>4</v>
      </c>
      <c r="B17" s="1">
        <v>0.0709000006318092</v>
      </c>
      <c r="C17" s="1">
        <v>0.0794999971985817</v>
      </c>
      <c r="D17" s="1">
        <v>0.0794999971985817</v>
      </c>
      <c r="E17" s="1">
        <v>0.0685999989509583</v>
      </c>
      <c r="F17" s="1">
        <v>0.0637999996542931</v>
      </c>
      <c r="G17" s="1">
        <v>0.0693999975919724</v>
      </c>
      <c r="H17" s="1">
        <v>0.0729999989271164</v>
      </c>
      <c r="I17" s="1">
        <v>0.0668999999761581</v>
      </c>
      <c r="J17" s="1">
        <v>0.0746999979019165</v>
      </c>
      <c r="K17" s="1">
        <v>0.0706000030040741</v>
      </c>
      <c r="L17" s="1">
        <v>0.0812000036239624</v>
      </c>
      <c r="M17" s="1">
        <v>0.0794999971985817</v>
      </c>
      <c r="O17" s="8" t="s">
        <v>4</v>
      </c>
      <c r="P17" s="1">
        <v>0.0829000025987625</v>
      </c>
      <c r="Q17" s="1">
        <v>0.0826999992132187</v>
      </c>
      <c r="R17" s="1">
        <v>0.0688000023365021</v>
      </c>
      <c r="S17" s="1">
        <v>0.0672999992966652</v>
      </c>
      <c r="T17" s="1">
        <v>0.0658999979496002</v>
      </c>
      <c r="U17" s="1">
        <v>0.0646999999880791</v>
      </c>
    </row>
    <row r="18" spans="1:21">
      <c r="A18" s="8" t="s">
        <v>5</v>
      </c>
      <c r="B18" s="1">
        <v>0.0577000007033348</v>
      </c>
      <c r="C18" s="1">
        <v>0.0674000009894371</v>
      </c>
      <c r="D18" s="1">
        <v>0.0674000009894371</v>
      </c>
      <c r="E18" s="1">
        <v>0.0573000013828278</v>
      </c>
      <c r="F18" s="1">
        <v>0.0551000013947487</v>
      </c>
      <c r="G18" s="1">
        <v>0.0544999986886978</v>
      </c>
      <c r="H18" s="1">
        <v>0.0577999986708164</v>
      </c>
      <c r="I18" s="1">
        <v>0.0626000016927719</v>
      </c>
      <c r="J18" s="1">
        <v>0.064800001680851</v>
      </c>
      <c r="K18" s="1">
        <v>0.0625</v>
      </c>
      <c r="L18" s="1">
        <v>0.0645999982953072</v>
      </c>
      <c r="M18" s="1">
        <v>0.0688000023365021</v>
      </c>
      <c r="O18" s="8" t="s">
        <v>5</v>
      </c>
      <c r="P18" s="1">
        <v>0.0700000002980232</v>
      </c>
      <c r="Q18" s="1">
        <v>0.0764999985694885</v>
      </c>
      <c r="R18" s="1">
        <v>0.0728999972343445</v>
      </c>
      <c r="S18" s="1">
        <v>0.0432999990880489</v>
      </c>
      <c r="T18" s="1">
        <v>0.0458999983966351</v>
      </c>
      <c r="U18" s="1">
        <v>0.0535999983549118</v>
      </c>
    </row>
    <row r="19" spans="1:21">
      <c r="A19" s="8" t="s">
        <v>6</v>
      </c>
      <c r="B19" s="1">
        <v>0.0763000026345253</v>
      </c>
      <c r="C19" s="1">
        <v>0.0789000019431114</v>
      </c>
      <c r="D19" s="1">
        <v>0.0665000006556511</v>
      </c>
      <c r="E19" s="1">
        <v>0.0728000029921532</v>
      </c>
      <c r="F19" s="1">
        <v>0.0746000036597252</v>
      </c>
      <c r="G19" s="1">
        <v>0.0710000023245811</v>
      </c>
      <c r="H19" s="1">
        <v>0.0733999982476234</v>
      </c>
      <c r="I19" s="1">
        <v>0.0749000012874603</v>
      </c>
      <c r="J19" s="1">
        <v>0.0754999965429306</v>
      </c>
      <c r="K19" s="1">
        <v>0.0780000016093254</v>
      </c>
      <c r="L19" s="1">
        <v>0.0790000036358833</v>
      </c>
      <c r="M19" s="1">
        <v>0.0843999981880188</v>
      </c>
      <c r="O19" s="8" t="s">
        <v>6</v>
      </c>
      <c r="P19" s="1">
        <v>0.0803000032901764</v>
      </c>
      <c r="Q19" s="1">
        <v>0.0798999965190887</v>
      </c>
      <c r="R19" s="1">
        <v>0.0700000002980232</v>
      </c>
      <c r="S19" s="1">
        <v>0.0716999992728233</v>
      </c>
      <c r="T19" s="1">
        <v>0.0688999965786934</v>
      </c>
      <c r="U19" s="1">
        <v>0.0718000009655952</v>
      </c>
    </row>
    <row r="20" spans="1:21">
      <c r="A20" s="8" t="s">
        <v>7</v>
      </c>
      <c r="B20" s="1">
        <v>0.0636000037193298</v>
      </c>
      <c r="C20" s="1">
        <v>0.0697000026702881</v>
      </c>
      <c r="D20" s="1">
        <v>0.0707999989390373</v>
      </c>
      <c r="E20" s="1">
        <v>0.0559000000357628</v>
      </c>
      <c r="F20" s="1">
        <v>0.0608000010251999</v>
      </c>
      <c r="G20" s="1">
        <v>0.0564000010490417</v>
      </c>
      <c r="H20" s="1">
        <v>0.0649000033736229</v>
      </c>
      <c r="I20" s="1">
        <v>0.0604999996721745</v>
      </c>
      <c r="J20" s="1">
        <v>0.0706000030040741</v>
      </c>
      <c r="K20" s="1">
        <v>0.0635000020265579</v>
      </c>
      <c r="L20" s="1">
        <v>0.0680999979376793</v>
      </c>
      <c r="M20" s="1">
        <v>0.0740000009536743</v>
      </c>
      <c r="O20" s="8" t="s">
        <v>7</v>
      </c>
      <c r="P20" s="1">
        <v>0.0756999999284744</v>
      </c>
      <c r="Q20" s="1">
        <v>0.0768000036478043</v>
      </c>
      <c r="R20" s="1">
        <v>0.0772000029683113</v>
      </c>
      <c r="S20" s="1">
        <v>0.102099999785423</v>
      </c>
      <c r="T20" s="1">
        <v>0.0502999983727932</v>
      </c>
      <c r="U20" s="1">
        <v>0.061099998652935</v>
      </c>
    </row>
    <row r="21" spans="1:21">
      <c r="A21" s="8" t="s">
        <v>8</v>
      </c>
      <c r="B21" s="1">
        <v>0.0773999989032745</v>
      </c>
      <c r="C21" s="1">
        <v>0.0799999982118607</v>
      </c>
      <c r="D21" s="1">
        <v>0.067500002682209</v>
      </c>
      <c r="E21" s="1">
        <v>0.0724000036716461</v>
      </c>
      <c r="F21" s="1">
        <v>0.0766000002622604</v>
      </c>
      <c r="G21" s="1">
        <v>0.0758000016212463</v>
      </c>
      <c r="H21" s="1">
        <v>0.0824000015854836</v>
      </c>
      <c r="I21" s="1">
        <v>0.0741999968886375</v>
      </c>
      <c r="J21" s="1">
        <v>0.0734999999403954</v>
      </c>
      <c r="K21" s="1">
        <v>0.0786999985575676</v>
      </c>
      <c r="L21" s="1">
        <v>0.0843999981880188</v>
      </c>
      <c r="M21" s="1">
        <v>0.0869999974966049</v>
      </c>
      <c r="O21" s="8" t="s">
        <v>8</v>
      </c>
      <c r="P21" s="1">
        <v>0.0935000032186508</v>
      </c>
      <c r="Q21" s="1">
        <v>0.0834000036120415</v>
      </c>
      <c r="R21" s="1">
        <v>0.0756999999284744</v>
      </c>
      <c r="S21" s="1">
        <v>0.066100001335144</v>
      </c>
      <c r="T21" s="1">
        <v>0.0736000016331673</v>
      </c>
      <c r="U21" s="1">
        <v>0.0780000016093254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opLeftCell="A16" workbookViewId="0">
      <selection activeCell="G27" sqref="G27"/>
    </sheetView>
  </sheetViews>
  <sheetFormatPr defaultColWidth="9" defaultRowHeight="13.5"/>
  <sheetData>
    <row r="1" spans="1:13">
      <c r="A1" t="s">
        <v>9</v>
      </c>
      <c r="B1">
        <v>0</v>
      </c>
      <c r="C1">
        <v>1</v>
      </c>
      <c r="D1">
        <v>4</v>
      </c>
      <c r="E1">
        <v>8</v>
      </c>
      <c r="F1">
        <v>16</v>
      </c>
      <c r="G1">
        <v>64</v>
      </c>
    </row>
    <row r="2" spans="1:13">
      <c r="B2">
        <v>0.613749980926514</v>
      </c>
      <c r="C2">
        <v>0.546599984169006</v>
      </c>
      <c r="D2">
        <v>0.501049995422363</v>
      </c>
      <c r="E2">
        <v>0.430099993944168</v>
      </c>
      <c r="F2">
        <v>0.38484999537468</v>
      </c>
      <c r="G2">
        <v>0.27590000629425</v>
      </c>
    </row>
    <row r="3" spans="1:13">
      <c r="B3">
        <v>0.563849985599518</v>
      </c>
      <c r="C3">
        <v>0.518700003623962</v>
      </c>
      <c r="D3">
        <v>0.490599989891052</v>
      </c>
      <c r="E3">
        <v>0.429549992084503</v>
      </c>
      <c r="F3">
        <v>0.363999992609024</v>
      </c>
      <c r="G3">
        <v>0.242200002074242</v>
      </c>
    </row>
    <row r="4" spans="1:13">
      <c r="B4">
        <v>0.507149994373322</v>
      </c>
      <c r="C4" s="4">
        <v>0.498349993228912</v>
      </c>
      <c r="D4">
        <v>0.453399986028671</v>
      </c>
      <c r="E4">
        <v>0.379099994897842</v>
      </c>
      <c r="F4">
        <v>0.333950012922287</v>
      </c>
      <c r="G4">
        <v>0.22945000231266</v>
      </c>
    </row>
    <row r="5" spans="1:13">
      <c r="B5">
        <v>0.569199979305267</v>
      </c>
      <c r="C5" s="4">
        <v>0.516300022602081</v>
      </c>
      <c r="D5">
        <v>0.483200013637543</v>
      </c>
      <c r="E5">
        <v>0.441399991512299</v>
      </c>
      <c r="F5">
        <v>0.366699993610382</v>
      </c>
      <c r="G5">
        <v>0.248349994421005</v>
      </c>
      <c r="J5" s="1">
        <v>0.0579999983310699</v>
      </c>
      <c r="K5" s="1">
        <v>0.0653000026941299</v>
      </c>
      <c r="L5" s="1">
        <v>0.0690999999642372</v>
      </c>
    </row>
    <row r="6" spans="1:13">
      <c r="E6" s="7"/>
      <c r="F6" s="3"/>
      <c r="J6" s="1">
        <v>0.0684999972581863</v>
      </c>
      <c r="K6" s="1">
        <v>0.0781999975442886</v>
      </c>
      <c r="L6" s="1">
        <v>0.0756999999284744</v>
      </c>
    </row>
    <row r="7" spans="1:13">
      <c r="A7" t="s">
        <v>10</v>
      </c>
      <c r="E7" s="7"/>
      <c r="F7" s="3"/>
      <c r="J7" s="1">
        <v>0.0557999983429909</v>
      </c>
      <c r="K7" s="1">
        <v>0.0679000020027161</v>
      </c>
      <c r="L7" s="1">
        <v>0.066600002348423</v>
      </c>
    </row>
    <row r="8" spans="1:13">
      <c r="B8" s="1">
        <v>0.0579999983310699</v>
      </c>
      <c r="C8" s="1">
        <v>0.0577000007033348</v>
      </c>
      <c r="D8" s="1">
        <v>0.0653000026941299</v>
      </c>
      <c r="E8" s="1">
        <v>0.0674000009894371</v>
      </c>
      <c r="F8" s="1">
        <v>0.0690999999642372</v>
      </c>
      <c r="G8" s="1">
        <v>0.0674000009894371</v>
      </c>
      <c r="J8" s="1">
        <v>0.0709000006318092</v>
      </c>
      <c r="K8" s="1">
        <v>0.0794999971985817</v>
      </c>
      <c r="L8" s="1">
        <v>0.0794999971985817</v>
      </c>
    </row>
    <row r="9" spans="1:13">
      <c r="B9" s="1">
        <v>0.0684999972581863</v>
      </c>
      <c r="C9" s="1">
        <v>0.0763000026345253</v>
      </c>
      <c r="D9" s="1">
        <v>0.0781999975442886</v>
      </c>
      <c r="E9" s="1">
        <v>0.0789000019431114</v>
      </c>
      <c r="F9" s="1">
        <v>0.0756999999284744</v>
      </c>
      <c r="G9" s="1">
        <v>0.0665000006556511</v>
      </c>
      <c r="J9" s="1">
        <v>0.0577000007033348</v>
      </c>
      <c r="K9" s="1">
        <v>0.0674000009894371</v>
      </c>
      <c r="L9" s="1">
        <v>0.0674000009894371</v>
      </c>
    </row>
    <row r="10" spans="1:13">
      <c r="B10" s="1">
        <v>0.0557999983429909</v>
      </c>
      <c r="C10" s="1">
        <v>0.0636000037193298</v>
      </c>
      <c r="D10" s="1">
        <v>0.0679000020027161</v>
      </c>
      <c r="E10" s="1">
        <v>0.0697000026702881</v>
      </c>
      <c r="F10" s="1">
        <v>0.066600002348423</v>
      </c>
      <c r="G10" s="1">
        <v>0.0707999989390373</v>
      </c>
      <c r="J10" s="1">
        <v>0.0763000026345253</v>
      </c>
      <c r="K10" s="1">
        <v>0.0789000019431114</v>
      </c>
      <c r="L10" s="1">
        <v>0.0665000006556511</v>
      </c>
    </row>
    <row r="11" spans="1:13">
      <c r="B11" s="1">
        <v>0.0709000006318092</v>
      </c>
      <c r="C11" s="1">
        <v>0.0773999989032745</v>
      </c>
      <c r="D11" s="1">
        <v>0.0794999971985817</v>
      </c>
      <c r="E11" s="1">
        <v>0.0799999982118607</v>
      </c>
      <c r="F11" s="1">
        <v>0.0794999971985817</v>
      </c>
      <c r="G11" s="1">
        <v>0.067500002682209</v>
      </c>
      <c r="J11" s="1">
        <v>0.0636000037193298</v>
      </c>
      <c r="K11" s="1">
        <v>0.0697000026702881</v>
      </c>
      <c r="L11" s="1">
        <v>0.0707999989390373</v>
      </c>
      <c r="M11" s="1"/>
    </row>
    <row r="12" spans="1:13">
      <c r="J12" s="1">
        <v>0.0773999989032745</v>
      </c>
      <c r="K12" s="1">
        <v>0.0799999982118607</v>
      </c>
      <c r="L12" s="1">
        <v>0.067500002682209</v>
      </c>
      <c r="M12" s="1"/>
    </row>
    <row r="13" spans="1:13">
      <c r="A13" t="s">
        <v>11</v>
      </c>
      <c r="B13" t="s">
        <v>12</v>
      </c>
      <c r="K13" s="1"/>
      <c r="L13" s="1"/>
      <c r="M13" s="1"/>
    </row>
    <row r="14" spans="1:13">
      <c r="B14">
        <f t="shared" ref="B14:G14" si="0">B2-B8</f>
        <v>0.555749982595444</v>
      </c>
      <c r="C14">
        <f t="shared" si="0"/>
        <v>0.488899983465672</v>
      </c>
      <c r="D14">
        <f t="shared" si="0"/>
        <v>0.435749992728233</v>
      </c>
      <c r="E14">
        <f t="shared" si="0"/>
        <v>0.362699992954731</v>
      </c>
      <c r="F14">
        <f t="shared" si="0"/>
        <v>0.315749995410442</v>
      </c>
      <c r="G14">
        <f t="shared" si="0"/>
        <v>0.208500005304813</v>
      </c>
      <c r="K14" s="1"/>
      <c r="L14" s="1"/>
      <c r="M14" s="1"/>
    </row>
    <row r="15" spans="1:13">
      <c r="B15">
        <f t="shared" ref="B15:G15" si="1">B3-B9</f>
        <v>0.495349988341331</v>
      </c>
      <c r="C15">
        <f t="shared" si="1"/>
        <v>0.442400000989437</v>
      </c>
      <c r="D15">
        <f t="shared" si="1"/>
        <v>0.412399992346764</v>
      </c>
      <c r="E15">
        <f t="shared" si="1"/>
        <v>0.350649990141392</v>
      </c>
      <c r="F15">
        <f t="shared" si="1"/>
        <v>0.28829999268055</v>
      </c>
      <c r="G15">
        <f t="shared" si="1"/>
        <v>0.175700001418591</v>
      </c>
      <c r="K15" s="1"/>
      <c r="L15" s="1"/>
      <c r="M15" s="1"/>
    </row>
    <row r="16" spans="1:13">
      <c r="B16">
        <f t="shared" ref="B16:G16" si="2">B4-B10</f>
        <v>0.451349996030331</v>
      </c>
      <c r="C16">
        <f t="shared" si="2"/>
        <v>0.434749989509582</v>
      </c>
      <c r="D16">
        <f t="shared" si="2"/>
        <v>0.385499984025955</v>
      </c>
      <c r="E16">
        <f t="shared" si="2"/>
        <v>0.309399992227554</v>
      </c>
      <c r="F16">
        <f t="shared" si="2"/>
        <v>0.267350010573864</v>
      </c>
      <c r="G16">
        <f t="shared" si="2"/>
        <v>0.158650003373623</v>
      </c>
      <c r="K16" s="1"/>
      <c r="L16" s="1"/>
      <c r="M16" s="1"/>
    </row>
    <row r="17" spans="1:13">
      <c r="B17">
        <f t="shared" ref="B17:G17" si="3">B5-B11</f>
        <v>0.498299978673458</v>
      </c>
      <c r="C17">
        <f t="shared" si="3"/>
        <v>0.438900023698806</v>
      </c>
      <c r="D17">
        <f t="shared" si="3"/>
        <v>0.403700016438961</v>
      </c>
      <c r="E17">
        <f t="shared" si="3"/>
        <v>0.361399993300438</v>
      </c>
      <c r="F17">
        <f t="shared" si="3"/>
        <v>0.2871999964118</v>
      </c>
      <c r="G17">
        <f t="shared" si="3"/>
        <v>0.180849991738796</v>
      </c>
      <c r="K17" s="1"/>
      <c r="L17" s="1"/>
      <c r="M17" s="1"/>
    </row>
    <row r="18" spans="1:13">
      <c r="A18" t="s">
        <v>13</v>
      </c>
      <c r="B18">
        <f t="shared" ref="B18:G18" si="4">AVERAGE(B14:B17)</f>
        <v>0.500187486410141</v>
      </c>
      <c r="C18">
        <f t="shared" si="4"/>
        <v>0.451237499415874</v>
      </c>
      <c r="D18">
        <f t="shared" si="4"/>
        <v>0.409337496384978</v>
      </c>
      <c r="E18">
        <f t="shared" si="4"/>
        <v>0.346037492156029</v>
      </c>
      <c r="F18">
        <f t="shared" si="4"/>
        <v>0.289649998769164</v>
      </c>
      <c r="G18">
        <f t="shared" si="4"/>
        <v>0.180925000458956</v>
      </c>
      <c r="K18" s="1"/>
      <c r="L18" s="1"/>
      <c r="M18" s="1"/>
    </row>
    <row r="20" spans="1:13">
      <c r="A20" t="s">
        <v>14</v>
      </c>
      <c r="C20" s="4" t="s">
        <v>15</v>
      </c>
    </row>
    <row r="21" spans="1:13">
      <c r="B21">
        <f t="shared" ref="B21:G21" si="5">B14/0.516300022602081</f>
        <v>1.07640898366523</v>
      </c>
      <c r="C21">
        <f t="shared" si="5"/>
        <v>0.946930005932758</v>
      </c>
      <c r="D21">
        <f t="shared" si="5"/>
        <v>0.843986003587824</v>
      </c>
      <c r="E21">
        <f t="shared" si="5"/>
        <v>0.702498502957201</v>
      </c>
      <c r="F21">
        <f t="shared" si="5"/>
        <v>0.611563009079693</v>
      </c>
      <c r="G21">
        <f t="shared" si="5"/>
        <v>0.403834972258963</v>
      </c>
    </row>
    <row r="22" spans="1:13">
      <c r="B22">
        <f t="shared" ref="B22:G22" si="6">B15/0.516300022602081</f>
        <v>0.959422751610267</v>
      </c>
      <c r="C22">
        <f t="shared" si="6"/>
        <v>0.856866127488823</v>
      </c>
      <c r="D22">
        <f t="shared" si="6"/>
        <v>0.798760360823392</v>
      </c>
      <c r="E22">
        <f t="shared" si="6"/>
        <v>0.6791593546213</v>
      </c>
      <c r="F22">
        <f t="shared" si="6"/>
        <v>0.558396242610173</v>
      </c>
      <c r="G22">
        <f t="shared" si="6"/>
        <v>0.340306011479695</v>
      </c>
    </row>
    <row r="23" spans="1:13">
      <c r="B23">
        <f t="shared" ref="B23:G23" si="7">B16/0.516300022602081</f>
        <v>0.874200999944933</v>
      </c>
      <c r="C23">
        <f t="shared" si="7"/>
        <v>0.842049139022892</v>
      </c>
      <c r="D23">
        <f t="shared" si="7"/>
        <v>0.746658855607033</v>
      </c>
      <c r="E23">
        <f t="shared" si="7"/>
        <v>0.59926395251393</v>
      </c>
      <c r="F23">
        <f t="shared" si="7"/>
        <v>0.517819095235473</v>
      </c>
      <c r="G23">
        <f t="shared" si="7"/>
        <v>0.307282580725154</v>
      </c>
    </row>
    <row r="24" spans="1:13">
      <c r="B24">
        <f t="shared" ref="B24:G24" si="8">B17/0.516300022602081</f>
        <v>0.965136464961002</v>
      </c>
      <c r="C24">
        <f t="shared" si="8"/>
        <v>0.850087167315645</v>
      </c>
      <c r="D24">
        <f t="shared" si="8"/>
        <v>0.781909740008084</v>
      </c>
      <c r="E24">
        <f t="shared" si="8"/>
        <v>0.699980587796669</v>
      </c>
      <c r="F24">
        <f t="shared" si="8"/>
        <v>0.556265705673132</v>
      </c>
      <c r="G24">
        <f t="shared" si="8"/>
        <v>0.350280813135233</v>
      </c>
    </row>
    <row r="25" spans="1:13">
      <c r="A25" t="s">
        <v>13</v>
      </c>
      <c r="B25">
        <f t="shared" ref="B25:G25" si="9">AVERAGE(B21:B24)</f>
        <v>0.968792300045359</v>
      </c>
      <c r="C25">
        <f t="shared" si="9"/>
        <v>0.87398310994003</v>
      </c>
      <c r="D25">
        <f t="shared" si="9"/>
        <v>0.792828740006583</v>
      </c>
      <c r="E25">
        <f t="shared" si="9"/>
        <v>0.670225599472275</v>
      </c>
      <c r="F25">
        <f t="shared" si="9"/>
        <v>0.561011013149618</v>
      </c>
      <c r="G25">
        <f t="shared" si="9"/>
        <v>0.350426094399761</v>
      </c>
    </row>
    <row r="27" spans="1:13">
      <c r="A27" t="s">
        <v>16</v>
      </c>
    </row>
    <row r="28" spans="1:13">
      <c r="A28" s="7">
        <v>1</v>
      </c>
      <c r="B28" s="3">
        <f t="shared" ref="B28:B32" si="10">LOG(A28)</f>
        <v>0</v>
      </c>
      <c r="C28">
        <v>0.946930005932758</v>
      </c>
    </row>
    <row r="29" spans="1:13">
      <c r="A29" s="7">
        <v>4</v>
      </c>
      <c r="B29" s="3">
        <f t="shared" si="10"/>
        <v>0.602059991327962</v>
      </c>
      <c r="C29">
        <v>0.746658855607033</v>
      </c>
    </row>
    <row r="30" spans="1:13">
      <c r="A30" s="7">
        <v>8</v>
      </c>
      <c r="B30" s="3">
        <f t="shared" si="10"/>
        <v>0.903089986991944</v>
      </c>
      <c r="C30">
        <v>0.670225599472275</v>
      </c>
    </row>
    <row r="31" spans="1:13">
      <c r="A31" s="7">
        <v>16</v>
      </c>
      <c r="B31" s="3">
        <f t="shared" si="10"/>
        <v>1.20411998265592</v>
      </c>
      <c r="C31">
        <v>0.561011013149618</v>
      </c>
    </row>
    <row r="32" spans="1:13">
      <c r="A32" s="7">
        <v>64</v>
      </c>
      <c r="B32" s="3">
        <f t="shared" si="10"/>
        <v>1.80617997398389</v>
      </c>
      <c r="C32">
        <v>0.350426094399761</v>
      </c>
    </row>
    <row r="34" spans="2:2">
      <c r="B34" t="s">
        <v>17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4"/>
  <sheetViews>
    <sheetView zoomScale="75" zoomScaleNormal="75" topLeftCell="L1" workbookViewId="0">
      <selection activeCell="B1" sqref="B1:AD1"/>
    </sheetView>
  </sheetViews>
  <sheetFormatPr defaultColWidth="9" defaultRowHeight="13.5"/>
  <cols>
    <col min="2" max="30" width="12.6283185840708"/>
  </cols>
  <sheetData>
    <row r="1" spans="1:30">
      <c r="A1" t="s">
        <v>9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</row>
    <row r="2" spans="1:30">
      <c r="B2" s="4">
        <v>0.42314998626709</v>
      </c>
      <c r="C2" s="4">
        <v>0.42439998626709</v>
      </c>
      <c r="D2" s="4">
        <v>0.453249998092651</v>
      </c>
      <c r="E2" s="4">
        <v>0.435499994754791</v>
      </c>
      <c r="F2" s="4">
        <v>0.455600025653839</v>
      </c>
      <c r="G2" s="4">
        <v>0.439266664187113</v>
      </c>
      <c r="H2" s="4">
        <v>0.451250009536743</v>
      </c>
      <c r="I2" s="4">
        <v>0.475266683896383</v>
      </c>
      <c r="J2">
        <v>0.526199996471405</v>
      </c>
      <c r="K2" s="4">
        <v>0.482133329709371</v>
      </c>
      <c r="L2">
        <v>0.526449978351593</v>
      </c>
      <c r="M2">
        <v>0.497066656748454</v>
      </c>
      <c r="N2" s="4">
        <v>0.518600006103516</v>
      </c>
      <c r="O2" s="4">
        <v>0.473000023365021</v>
      </c>
      <c r="P2">
        <v>0.56784999370575</v>
      </c>
      <c r="Q2" s="4">
        <v>0.478900005817413</v>
      </c>
      <c r="R2">
        <v>0.506250023841858</v>
      </c>
      <c r="S2" s="4">
        <v>0.504749994277954</v>
      </c>
      <c r="T2" s="4">
        <v>0.503700007200241</v>
      </c>
      <c r="U2">
        <v>0.523500025272369</v>
      </c>
      <c r="V2" s="4">
        <v>0.523399987220764</v>
      </c>
      <c r="W2" s="4">
        <v>0.506549985408783</v>
      </c>
      <c r="X2">
        <v>0.515100002288818</v>
      </c>
      <c r="Y2">
        <v>0.519749999046326</v>
      </c>
      <c r="Z2">
        <v>0.527199983596802</v>
      </c>
      <c r="AA2" s="4">
        <v>0.566050016880035</v>
      </c>
      <c r="AB2">
        <v>0.530900001525879</v>
      </c>
      <c r="AC2">
        <v>0.528249979019165</v>
      </c>
      <c r="AD2">
        <v>0.537349998950958</v>
      </c>
    </row>
    <row r="3" spans="1:30">
      <c r="B3" s="4">
        <v>0.443049998283386</v>
      </c>
      <c r="C3" s="4">
        <v>0.456333332061768</v>
      </c>
      <c r="D3" s="4">
        <v>0.465700006484985</v>
      </c>
      <c r="E3" s="4">
        <v>0.448974994421005</v>
      </c>
      <c r="F3" s="4">
        <v>0.46549999833107</v>
      </c>
      <c r="G3" s="4">
        <v>0.459533314704895</v>
      </c>
      <c r="H3" s="4">
        <v>0.472749979496002</v>
      </c>
      <c r="I3" s="4">
        <v>0.468600002924601</v>
      </c>
      <c r="J3">
        <v>0.483200013637543</v>
      </c>
      <c r="K3" s="4">
        <v>0.478600004514058</v>
      </c>
      <c r="L3">
        <v>0.481249988079071</v>
      </c>
      <c r="M3">
        <v>0.477833350499471</v>
      </c>
      <c r="N3" s="4">
        <v>0.529350010156631</v>
      </c>
      <c r="O3" s="4">
        <v>0.48910001039505</v>
      </c>
      <c r="P3">
        <v>0.492900013923645</v>
      </c>
      <c r="Q3" s="4">
        <v>0.496399997472763</v>
      </c>
      <c r="R3" s="4">
        <v>0.50775000333786</v>
      </c>
      <c r="S3" s="4">
        <v>0.503549990653992</v>
      </c>
      <c r="T3" s="4">
        <v>0.520050007104874</v>
      </c>
      <c r="U3" s="4">
        <v>0.517899988889694</v>
      </c>
      <c r="V3" s="4">
        <v>0.50325000166893</v>
      </c>
      <c r="W3">
        <v>0.485449999570847</v>
      </c>
      <c r="X3">
        <v>0.5069500207901</v>
      </c>
      <c r="Y3">
        <v>0.523249983787537</v>
      </c>
      <c r="Z3">
        <v>0.497249990701675</v>
      </c>
      <c r="AA3" s="4">
        <v>0.539750003814697</v>
      </c>
      <c r="AB3">
        <v>0.506150007247925</v>
      </c>
      <c r="AC3">
        <v>0.498950004577637</v>
      </c>
      <c r="AD3">
        <v>0.512199997901917</v>
      </c>
    </row>
    <row r="4" spans="1:30">
      <c r="B4">
        <v>0.433200001716614</v>
      </c>
      <c r="C4" s="4">
        <v>0.410033329327901</v>
      </c>
      <c r="D4" s="4">
        <v>0.439849977493286</v>
      </c>
      <c r="E4" s="4">
        <v>0.431549994945526</v>
      </c>
      <c r="F4" s="4">
        <v>0.45754997253418</v>
      </c>
      <c r="G4" s="4">
        <v>0.436966648101807</v>
      </c>
      <c r="H4">
        <v>0.453399986028671</v>
      </c>
      <c r="I4">
        <v>0.457333326339722</v>
      </c>
      <c r="J4" s="4">
        <v>0.506200015544891</v>
      </c>
      <c r="K4" s="4">
        <v>0.467500009536743</v>
      </c>
      <c r="L4" s="4">
        <v>0.465099989175797</v>
      </c>
      <c r="M4">
        <v>0.517300009727478</v>
      </c>
      <c r="N4" s="4">
        <v>0.537549990415573</v>
      </c>
      <c r="O4">
        <v>0.462900012731552</v>
      </c>
      <c r="P4">
        <v>0.474200010299683</v>
      </c>
      <c r="Q4" s="4">
        <v>0.4744500041008</v>
      </c>
      <c r="R4">
        <v>0.50330001115799</v>
      </c>
      <c r="S4" s="4">
        <v>0.492850012779236</v>
      </c>
      <c r="T4" s="4">
        <v>0.508199998140335</v>
      </c>
      <c r="U4" s="4">
        <v>0.535550004243851</v>
      </c>
      <c r="V4" s="4">
        <v>0.546200014352798</v>
      </c>
      <c r="W4" s="4">
        <v>0.493850001096725</v>
      </c>
      <c r="X4">
        <v>0.544749975204468</v>
      </c>
      <c r="Y4">
        <v>0.466100007295609</v>
      </c>
      <c r="Z4">
        <v>0.513750016689301</v>
      </c>
      <c r="AA4" s="4">
        <v>0.535000028610229</v>
      </c>
      <c r="AB4">
        <v>0.549799978733063</v>
      </c>
      <c r="AC4" s="4">
        <v>0.507200011014938</v>
      </c>
      <c r="AD4" s="4">
        <v>0.562150013446808</v>
      </c>
    </row>
    <row r="5" spans="1:30">
      <c r="B5" s="4">
        <v>0.45424998998642</v>
      </c>
      <c r="C5" s="4">
        <v>0.459266686439514</v>
      </c>
      <c r="D5" s="4">
        <v>0.469850008487701</v>
      </c>
      <c r="E5" s="4">
        <v>0.458675005435944</v>
      </c>
      <c r="F5" s="4">
        <v>0.500500025749207</v>
      </c>
      <c r="G5" s="4">
        <v>0.459066659609477</v>
      </c>
      <c r="H5">
        <v>0.486299991607666</v>
      </c>
      <c r="I5">
        <v>0.479066650072734</v>
      </c>
      <c r="J5" s="4">
        <v>0.536850016117096</v>
      </c>
      <c r="K5">
        <v>0.469033320744832</v>
      </c>
      <c r="L5">
        <v>0.483550012111664</v>
      </c>
      <c r="M5">
        <v>0.52620001633962</v>
      </c>
      <c r="N5">
        <v>0.560500025749207</v>
      </c>
      <c r="O5" s="4">
        <v>0.482199988365173</v>
      </c>
      <c r="P5">
        <v>0.502099990844727</v>
      </c>
      <c r="Q5">
        <v>0.558350026607513</v>
      </c>
      <c r="R5" s="4">
        <v>0.546049973964691</v>
      </c>
      <c r="S5">
        <v>0.469449996948242</v>
      </c>
      <c r="T5">
        <v>0.540300011634827</v>
      </c>
      <c r="U5">
        <v>0.479600012302399</v>
      </c>
      <c r="V5">
        <v>0.561900019645691</v>
      </c>
      <c r="W5">
        <v>0.491349995136261</v>
      </c>
      <c r="X5">
        <v>0.60164999961853</v>
      </c>
      <c r="Y5">
        <v>0.513199985027313</v>
      </c>
      <c r="Z5">
        <v>0.558799982070923</v>
      </c>
      <c r="AA5" s="4">
        <v>0.555350029468536</v>
      </c>
      <c r="AB5">
        <v>0.56029999256134</v>
      </c>
      <c r="AC5">
        <v>0.540650010108948</v>
      </c>
      <c r="AD5">
        <v>0.566600024700165</v>
      </c>
    </row>
    <row r="7" spans="1:30">
      <c r="A7" t="s">
        <v>10</v>
      </c>
    </row>
    <row r="8" spans="1:30">
      <c r="B8" s="1">
        <v>0.0504000000655651</v>
      </c>
      <c r="C8" s="1">
        <v>0.0447999984025955</v>
      </c>
      <c r="D8" s="1">
        <v>0.0573000013828278</v>
      </c>
      <c r="E8" s="1">
        <v>0.0428000018000603</v>
      </c>
      <c r="F8" s="1">
        <v>0.0551000013947487</v>
      </c>
      <c r="G8" s="1">
        <v>0.0480999983847141</v>
      </c>
      <c r="H8" s="1">
        <v>0.0544999986886978</v>
      </c>
      <c r="I8" s="1">
        <v>0.050500001758337</v>
      </c>
      <c r="J8" s="1">
        <v>0.0577999986708164</v>
      </c>
      <c r="K8" s="1">
        <v>0.0571999996900558</v>
      </c>
      <c r="L8" s="1">
        <v>0.0626000016927719</v>
      </c>
      <c r="M8" s="1">
        <v>0.0557999983429909</v>
      </c>
      <c r="N8" s="1">
        <v>0.064800001680851</v>
      </c>
      <c r="O8" s="1">
        <v>0.0518999993801117</v>
      </c>
      <c r="P8" s="1">
        <v>0.0625</v>
      </c>
      <c r="Q8" s="1">
        <v>0.0562999993562698</v>
      </c>
      <c r="R8" s="1">
        <v>0.0645999982953072</v>
      </c>
      <c r="S8" s="1">
        <v>0.0667999982833862</v>
      </c>
      <c r="T8" s="1">
        <v>0.0688000023365021</v>
      </c>
      <c r="U8" s="1">
        <v>0.0662999972701073</v>
      </c>
      <c r="V8" s="1">
        <v>0.0700000002980232</v>
      </c>
      <c r="W8" s="1">
        <v>0.0696000009775162</v>
      </c>
      <c r="X8" s="1">
        <v>0.0764999985694885</v>
      </c>
      <c r="Y8" s="1">
        <v>0.0656000003218651</v>
      </c>
      <c r="Z8" s="1">
        <v>0.0728999972343445</v>
      </c>
      <c r="AA8" s="1">
        <v>0.0454000011086464</v>
      </c>
      <c r="AB8" s="1">
        <v>0.0432999990880489</v>
      </c>
      <c r="AC8" s="1">
        <v>0.0489000007510185</v>
      </c>
      <c r="AD8" s="1">
        <v>0.0458999983966351</v>
      </c>
    </row>
    <row r="9" spans="1:30">
      <c r="B9" s="1">
        <v>0.0663999989628792</v>
      </c>
      <c r="C9" s="1">
        <v>0.066100001335144</v>
      </c>
      <c r="D9" s="1">
        <v>0.0728000029921532</v>
      </c>
      <c r="E9" s="1">
        <v>0.067500002682209</v>
      </c>
      <c r="F9" s="1">
        <v>0.0746000036597252</v>
      </c>
      <c r="G9" s="1">
        <v>0.0715000033378601</v>
      </c>
      <c r="H9" s="1">
        <v>0.0710000023245811</v>
      </c>
      <c r="I9" s="1">
        <v>0.0689999982714653</v>
      </c>
      <c r="J9" s="1">
        <v>0.0733999982476234</v>
      </c>
      <c r="K9" s="1">
        <v>0.0718000009655952</v>
      </c>
      <c r="L9" s="1">
        <v>0.0749000012874603</v>
      </c>
      <c r="M9" s="1">
        <v>0.063900001347065</v>
      </c>
      <c r="N9" s="1">
        <v>0.0754999965429306</v>
      </c>
      <c r="O9" s="1">
        <v>0.0697999969124794</v>
      </c>
      <c r="P9" s="1">
        <v>0.0780000016093254</v>
      </c>
      <c r="Q9" s="1">
        <v>0.0719000026583672</v>
      </c>
      <c r="R9" s="1">
        <v>0.0790000036358833</v>
      </c>
      <c r="S9" s="1">
        <v>0.0817999988794327</v>
      </c>
      <c r="T9" s="1">
        <v>0.0843999981880188</v>
      </c>
      <c r="U9" s="1">
        <v>0.0852999985218048</v>
      </c>
      <c r="V9" s="1">
        <v>0.0803000032901764</v>
      </c>
      <c r="W9" s="1">
        <v>0.0781999975442886</v>
      </c>
      <c r="X9" s="1">
        <v>0.0798999965190887</v>
      </c>
      <c r="Y9" s="1">
        <v>0.0674000009894371</v>
      </c>
      <c r="Z9" s="1">
        <v>0.0700000002980232</v>
      </c>
      <c r="AA9" s="1">
        <v>0.0667999982833862</v>
      </c>
      <c r="AB9" s="1">
        <v>0.0716999992728233</v>
      </c>
      <c r="AC9" s="1">
        <v>0.0672999992966652</v>
      </c>
      <c r="AD9" s="1">
        <v>0.0688999965786934</v>
      </c>
    </row>
    <row r="10" spans="1:30">
      <c r="B10" s="1">
        <v>0.0485999993979931</v>
      </c>
      <c r="C10" s="1">
        <v>0.0412000007927418</v>
      </c>
      <c r="D10" s="1">
        <v>0.0559000000357628</v>
      </c>
      <c r="E10" s="1">
        <v>0.0438000001013279</v>
      </c>
      <c r="F10" s="1">
        <v>0.0608000010251999</v>
      </c>
      <c r="G10" s="1">
        <v>0.0513000003993511</v>
      </c>
      <c r="H10" s="1">
        <v>0.0564000010490417</v>
      </c>
      <c r="I10" s="1">
        <v>0.0527000017464161</v>
      </c>
      <c r="J10" s="1">
        <v>0.0649000033736229</v>
      </c>
      <c r="K10" s="1">
        <v>0.0535000003874302</v>
      </c>
      <c r="L10" s="1">
        <v>0.0604999996721745</v>
      </c>
      <c r="M10" s="1">
        <v>0.061999998986721</v>
      </c>
      <c r="N10" s="1">
        <v>0.0706000030040741</v>
      </c>
      <c r="O10" s="1">
        <v>0.0566999986767769</v>
      </c>
      <c r="P10" s="1">
        <v>0.0635000020265579</v>
      </c>
      <c r="Q10" s="1">
        <v>0.0595999993383884</v>
      </c>
      <c r="R10" s="1">
        <v>0.0680999979376793</v>
      </c>
      <c r="S10" s="1">
        <v>0.0637999996542931</v>
      </c>
      <c r="T10" s="1">
        <v>0.0740000009536743</v>
      </c>
      <c r="U10" s="1">
        <v>0.0697999969124794</v>
      </c>
      <c r="V10" s="1">
        <v>0.0756999999284744</v>
      </c>
      <c r="W10" s="1">
        <v>0.0725999996066093</v>
      </c>
      <c r="X10" s="1">
        <v>0.0768000036478043</v>
      </c>
      <c r="Y10" s="1">
        <v>0.0706000030040741</v>
      </c>
      <c r="Z10" s="1">
        <v>0.0772000029683113</v>
      </c>
      <c r="AA10" s="1">
        <v>0.0423999987542629</v>
      </c>
      <c r="AB10" s="1">
        <v>0.102099999785423</v>
      </c>
      <c r="AC10" s="1">
        <v>0.0469999983906746</v>
      </c>
      <c r="AD10" s="1">
        <v>0.0502999983727932</v>
      </c>
    </row>
    <row r="11" spans="1:30">
      <c r="B11" s="1">
        <v>0.0646999999880791</v>
      </c>
      <c r="C11" s="1">
        <v>0.0685999989509583</v>
      </c>
      <c r="D11" s="1">
        <v>0.0724000036716461</v>
      </c>
      <c r="E11" s="1">
        <v>0.0637999996542931</v>
      </c>
      <c r="F11" s="1">
        <v>0.0766000002622604</v>
      </c>
      <c r="G11" s="1">
        <v>0.0693999975919724</v>
      </c>
      <c r="H11" s="1">
        <v>0.0758000016212463</v>
      </c>
      <c r="I11" s="1">
        <v>0.0729999989271164</v>
      </c>
      <c r="J11" s="1">
        <v>0.0824000015854836</v>
      </c>
      <c r="K11" s="1">
        <v>0.0668999999761581</v>
      </c>
      <c r="L11" s="1">
        <v>0.0741999968886375</v>
      </c>
      <c r="M11" s="1">
        <v>0.0746999979019165</v>
      </c>
      <c r="N11" s="1">
        <v>0.0734999999403954</v>
      </c>
      <c r="O11" s="1">
        <v>0.0706000030040741</v>
      </c>
      <c r="P11" s="1">
        <v>0.0786999985575676</v>
      </c>
      <c r="Q11" s="1">
        <v>0.0812000036239624</v>
      </c>
      <c r="R11" s="1">
        <v>0.0843999981880188</v>
      </c>
      <c r="S11" s="1">
        <v>0.0794999971985817</v>
      </c>
      <c r="T11" s="1">
        <v>0.0869999974966049</v>
      </c>
      <c r="U11" s="1">
        <v>0.0829000025987625</v>
      </c>
      <c r="V11" s="1">
        <v>0.0935000032186508</v>
      </c>
      <c r="W11" s="1">
        <v>0.0826999992132187</v>
      </c>
      <c r="X11" s="1">
        <v>0.0834000036120415</v>
      </c>
      <c r="Y11" s="1">
        <v>0.0688000023365021</v>
      </c>
      <c r="Z11" s="1">
        <v>0.0756999999284744</v>
      </c>
      <c r="AA11" s="1">
        <v>0.0672999992966652</v>
      </c>
      <c r="AB11" s="1">
        <v>0.066100001335144</v>
      </c>
      <c r="AC11" s="1">
        <v>0.0658999979496002</v>
      </c>
      <c r="AD11" s="1">
        <v>0.0736000016331673</v>
      </c>
    </row>
    <row r="13" spans="1:30">
      <c r="A13" t="s">
        <v>11</v>
      </c>
      <c r="C13" t="s">
        <v>47</v>
      </c>
    </row>
    <row r="14" spans="1:30">
      <c r="B14">
        <f t="shared" ref="B14:AD14" si="0">B2-B8</f>
        <v>0.372749986201525</v>
      </c>
      <c r="C14">
        <f t="shared" si="0"/>
        <v>0.379599987864495</v>
      </c>
      <c r="D14">
        <f t="shared" si="0"/>
        <v>0.395949996709823</v>
      </c>
      <c r="E14">
        <f t="shared" si="0"/>
        <v>0.392699992954731</v>
      </c>
      <c r="F14">
        <f t="shared" si="0"/>
        <v>0.40050002425909</v>
      </c>
      <c r="G14">
        <f t="shared" si="0"/>
        <v>0.391166665802399</v>
      </c>
      <c r="H14">
        <f t="shared" si="0"/>
        <v>0.396750010848045</v>
      </c>
      <c r="I14">
        <f t="shared" si="0"/>
        <v>0.424766682138046</v>
      </c>
      <c r="J14">
        <f t="shared" si="0"/>
        <v>0.468399997800589</v>
      </c>
      <c r="K14">
        <f t="shared" si="0"/>
        <v>0.424933330019315</v>
      </c>
      <c r="L14">
        <f t="shared" si="0"/>
        <v>0.463849976658821</v>
      </c>
      <c r="M14">
        <f t="shared" si="0"/>
        <v>0.441266658405463</v>
      </c>
      <c r="N14">
        <f t="shared" si="0"/>
        <v>0.453800004422665</v>
      </c>
      <c r="O14">
        <f t="shared" si="0"/>
        <v>0.421100023984909</v>
      </c>
      <c r="P14">
        <f t="shared" si="0"/>
        <v>0.50534999370575</v>
      </c>
      <c r="Q14">
        <f t="shared" si="0"/>
        <v>0.422600006461143</v>
      </c>
      <c r="R14">
        <f t="shared" si="0"/>
        <v>0.441650025546551</v>
      </c>
      <c r="S14">
        <f t="shared" si="0"/>
        <v>0.437949995994568</v>
      </c>
      <c r="T14">
        <f t="shared" si="0"/>
        <v>0.434900004863739</v>
      </c>
      <c r="U14">
        <f t="shared" si="0"/>
        <v>0.457200028002262</v>
      </c>
      <c r="V14">
        <f t="shared" si="0"/>
        <v>0.453399986922741</v>
      </c>
      <c r="W14">
        <f t="shared" si="0"/>
        <v>0.436949984431267</v>
      </c>
      <c r="X14">
        <f t="shared" si="0"/>
        <v>0.43860000371933</v>
      </c>
      <c r="Y14">
        <f t="shared" si="0"/>
        <v>0.454149998724461</v>
      </c>
      <c r="Z14">
        <f t="shared" si="0"/>
        <v>0.454299986362457</v>
      </c>
      <c r="AA14">
        <f t="shared" si="0"/>
        <v>0.520650015771389</v>
      </c>
      <c r="AB14">
        <f t="shared" si="0"/>
        <v>0.48760000243783</v>
      </c>
      <c r="AC14">
        <f t="shared" si="0"/>
        <v>0.479349978268147</v>
      </c>
      <c r="AD14">
        <f t="shared" si="0"/>
        <v>0.491450000554323</v>
      </c>
    </row>
    <row r="15" spans="1:30">
      <c r="B15">
        <f t="shared" ref="B15:AD15" si="1">B3-B9</f>
        <v>0.376649999320507</v>
      </c>
      <c r="C15">
        <f t="shared" si="1"/>
        <v>0.390233330726624</v>
      </c>
      <c r="D15">
        <f t="shared" si="1"/>
        <v>0.392900003492832</v>
      </c>
      <c r="E15">
        <f t="shared" si="1"/>
        <v>0.381474991738796</v>
      </c>
      <c r="F15">
        <f t="shared" si="1"/>
        <v>0.390899994671345</v>
      </c>
      <c r="G15">
        <f t="shared" si="1"/>
        <v>0.388033311367035</v>
      </c>
      <c r="H15">
        <f t="shared" si="1"/>
        <v>0.401749977171421</v>
      </c>
      <c r="I15">
        <f t="shared" si="1"/>
        <v>0.399600004653136</v>
      </c>
      <c r="J15">
        <f t="shared" si="1"/>
        <v>0.409800015389919</v>
      </c>
      <c r="K15">
        <f t="shared" si="1"/>
        <v>0.406800003548463</v>
      </c>
      <c r="L15">
        <f t="shared" si="1"/>
        <v>0.406349986791611</v>
      </c>
      <c r="M15">
        <f t="shared" si="1"/>
        <v>0.413933349152406</v>
      </c>
      <c r="N15">
        <f t="shared" si="1"/>
        <v>0.4538500136137</v>
      </c>
      <c r="O15">
        <f t="shared" si="1"/>
        <v>0.419300013482571</v>
      </c>
      <c r="P15">
        <f t="shared" si="1"/>
        <v>0.41490001231432</v>
      </c>
      <c r="Q15">
        <f t="shared" si="1"/>
        <v>0.424499994814396</v>
      </c>
      <c r="R15">
        <f t="shared" si="1"/>
        <v>0.428749999701977</v>
      </c>
      <c r="S15">
        <f t="shared" si="1"/>
        <v>0.421749991774559</v>
      </c>
      <c r="T15">
        <f t="shared" si="1"/>
        <v>0.435650008916855</v>
      </c>
      <c r="U15">
        <f t="shared" si="1"/>
        <v>0.432599990367889</v>
      </c>
      <c r="V15">
        <f t="shared" si="1"/>
        <v>0.422949998378754</v>
      </c>
      <c r="W15">
        <f t="shared" si="1"/>
        <v>0.407250002026558</v>
      </c>
      <c r="X15">
        <f t="shared" si="1"/>
        <v>0.427050024271011</v>
      </c>
      <c r="Y15">
        <f t="shared" si="1"/>
        <v>0.4558499827981</v>
      </c>
      <c r="Z15">
        <f t="shared" si="1"/>
        <v>0.427249990403652</v>
      </c>
      <c r="AA15">
        <f t="shared" si="1"/>
        <v>0.472950005531311</v>
      </c>
      <c r="AB15">
        <f t="shared" si="1"/>
        <v>0.434450007975101</v>
      </c>
      <c r="AC15">
        <f t="shared" si="1"/>
        <v>0.431650005280972</v>
      </c>
      <c r="AD15">
        <f t="shared" si="1"/>
        <v>0.443300001323223</v>
      </c>
    </row>
    <row r="16" spans="1:30">
      <c r="B16">
        <f t="shared" ref="B16:AD16" si="2">B4-B10</f>
        <v>0.384600002318621</v>
      </c>
      <c r="C16">
        <f t="shared" si="2"/>
        <v>0.368833328535159</v>
      </c>
      <c r="D16">
        <f t="shared" si="2"/>
        <v>0.383949977457523</v>
      </c>
      <c r="E16">
        <f t="shared" si="2"/>
        <v>0.387749994844198</v>
      </c>
      <c r="F16">
        <f t="shared" si="2"/>
        <v>0.39674997150898</v>
      </c>
      <c r="G16">
        <f t="shared" si="2"/>
        <v>0.385666647702456</v>
      </c>
      <c r="H16">
        <f t="shared" si="2"/>
        <v>0.39699998497963</v>
      </c>
      <c r="I16">
        <f t="shared" si="2"/>
        <v>0.404633324593306</v>
      </c>
      <c r="J16">
        <f t="shared" si="2"/>
        <v>0.441300012171268</v>
      </c>
      <c r="K16">
        <f t="shared" si="2"/>
        <v>0.414000009149313</v>
      </c>
      <c r="L16">
        <f t="shared" si="2"/>
        <v>0.404599989503623</v>
      </c>
      <c r="M16">
        <f t="shared" si="2"/>
        <v>0.455300010740757</v>
      </c>
      <c r="N16">
        <f t="shared" si="2"/>
        <v>0.466949987411499</v>
      </c>
      <c r="O16">
        <f t="shared" si="2"/>
        <v>0.406200014054775</v>
      </c>
      <c r="P16">
        <f t="shared" si="2"/>
        <v>0.410700008273125</v>
      </c>
      <c r="Q16">
        <f t="shared" si="2"/>
        <v>0.414850004762412</v>
      </c>
      <c r="R16">
        <f t="shared" si="2"/>
        <v>0.43520001322031</v>
      </c>
      <c r="S16">
        <f t="shared" si="2"/>
        <v>0.429050013124943</v>
      </c>
      <c r="T16">
        <f t="shared" si="2"/>
        <v>0.434199997186661</v>
      </c>
      <c r="U16">
        <f t="shared" si="2"/>
        <v>0.465750007331372</v>
      </c>
      <c r="V16">
        <f t="shared" si="2"/>
        <v>0.470500014424324</v>
      </c>
      <c r="W16">
        <f t="shared" si="2"/>
        <v>0.421250001490116</v>
      </c>
      <c r="X16">
        <f t="shared" si="2"/>
        <v>0.467949971556664</v>
      </c>
      <c r="Y16">
        <f t="shared" si="2"/>
        <v>0.395500004291534</v>
      </c>
      <c r="Z16">
        <f t="shared" si="2"/>
        <v>0.436550013720989</v>
      </c>
      <c r="AA16">
        <f t="shared" si="2"/>
        <v>0.492600029855966</v>
      </c>
      <c r="AB16">
        <f t="shared" si="2"/>
        <v>0.447699978947639</v>
      </c>
      <c r="AC16">
        <f t="shared" si="2"/>
        <v>0.460200012624263</v>
      </c>
      <c r="AD16">
        <f t="shared" si="2"/>
        <v>0.511850015074015</v>
      </c>
    </row>
    <row r="17" spans="1:30">
      <c r="B17">
        <f t="shared" ref="B17:AD17" si="3">B5-B11</f>
        <v>0.389549989998341</v>
      </c>
      <c r="C17">
        <f t="shared" si="3"/>
        <v>0.390666687488556</v>
      </c>
      <c r="D17">
        <f t="shared" si="3"/>
        <v>0.397450004816055</v>
      </c>
      <c r="E17">
        <f t="shared" si="3"/>
        <v>0.394875005781651</v>
      </c>
      <c r="F17">
        <f t="shared" si="3"/>
        <v>0.423900025486947</v>
      </c>
      <c r="G17">
        <f t="shared" si="3"/>
        <v>0.389666662017505</v>
      </c>
      <c r="H17">
        <f t="shared" si="3"/>
        <v>0.41049998998642</v>
      </c>
      <c r="I17">
        <f t="shared" si="3"/>
        <v>0.406066651145617</v>
      </c>
      <c r="J17">
        <f t="shared" si="3"/>
        <v>0.454450014531612</v>
      </c>
      <c r="K17">
        <f t="shared" si="3"/>
        <v>0.402133320768674</v>
      </c>
      <c r="L17">
        <f t="shared" si="3"/>
        <v>0.409350015223026</v>
      </c>
      <c r="M17">
        <f t="shared" si="3"/>
        <v>0.451500018437703</v>
      </c>
      <c r="N17">
        <f t="shared" si="3"/>
        <v>0.487000025808811</v>
      </c>
      <c r="O17">
        <f t="shared" si="3"/>
        <v>0.411599985361099</v>
      </c>
      <c r="P17">
        <f t="shared" si="3"/>
        <v>0.423399992287159</v>
      </c>
      <c r="Q17">
        <f t="shared" si="3"/>
        <v>0.477150022983551</v>
      </c>
      <c r="R17">
        <f t="shared" si="3"/>
        <v>0.461649975776672</v>
      </c>
      <c r="S17">
        <f t="shared" si="3"/>
        <v>0.38994999974966</v>
      </c>
      <c r="T17">
        <f t="shared" si="3"/>
        <v>0.453300014138222</v>
      </c>
      <c r="U17">
        <f t="shared" si="3"/>
        <v>0.396700009703636</v>
      </c>
      <c r="V17">
        <f t="shared" si="3"/>
        <v>0.46840001642704</v>
      </c>
      <c r="W17">
        <f t="shared" si="3"/>
        <v>0.408649995923042</v>
      </c>
      <c r="X17">
        <f t="shared" si="3"/>
        <v>0.518249996006489</v>
      </c>
      <c r="Y17">
        <f t="shared" si="3"/>
        <v>0.444399982690811</v>
      </c>
      <c r="Z17">
        <f t="shared" si="3"/>
        <v>0.483099982142448</v>
      </c>
      <c r="AA17">
        <f t="shared" si="3"/>
        <v>0.488050030171871</v>
      </c>
      <c r="AB17">
        <f t="shared" si="3"/>
        <v>0.494199991226196</v>
      </c>
      <c r="AC17">
        <f t="shared" si="3"/>
        <v>0.474750012159348</v>
      </c>
      <c r="AD17">
        <f t="shared" si="3"/>
        <v>0.493000023066998</v>
      </c>
    </row>
    <row r="18" spans="1:30">
      <c r="A18" t="s">
        <v>13</v>
      </c>
      <c r="B18">
        <f t="shared" ref="B18:AD18" si="4">AVERAGE(B14:B17)</f>
        <v>0.380887494459748</v>
      </c>
      <c r="C18">
        <f t="shared" si="4"/>
        <v>0.382333333653708</v>
      </c>
      <c r="D18">
        <f t="shared" si="4"/>
        <v>0.392562495619058</v>
      </c>
      <c r="E18">
        <f t="shared" si="4"/>
        <v>0.389199996329844</v>
      </c>
      <c r="F18">
        <f t="shared" si="4"/>
        <v>0.40301250398159</v>
      </c>
      <c r="G18">
        <f t="shared" si="4"/>
        <v>0.388633321722349</v>
      </c>
      <c r="H18">
        <f t="shared" si="4"/>
        <v>0.401499990746379</v>
      </c>
      <c r="I18">
        <f t="shared" si="4"/>
        <v>0.408766665632526</v>
      </c>
      <c r="J18">
        <f t="shared" si="4"/>
        <v>0.443487509973347</v>
      </c>
      <c r="K18">
        <f t="shared" si="4"/>
        <v>0.411966665871441</v>
      </c>
      <c r="L18">
        <f t="shared" si="4"/>
        <v>0.42103749204427</v>
      </c>
      <c r="M18">
        <f t="shared" si="4"/>
        <v>0.440500009184082</v>
      </c>
      <c r="N18">
        <f t="shared" si="4"/>
        <v>0.465400007814169</v>
      </c>
      <c r="O18">
        <f t="shared" si="4"/>
        <v>0.414550009220839</v>
      </c>
      <c r="P18">
        <f t="shared" si="4"/>
        <v>0.438587501645088</v>
      </c>
      <c r="Q18">
        <f t="shared" si="4"/>
        <v>0.434775007255375</v>
      </c>
      <c r="R18">
        <f t="shared" si="4"/>
        <v>0.441812503561377</v>
      </c>
      <c r="S18">
        <f t="shared" si="4"/>
        <v>0.419675000160933</v>
      </c>
      <c r="T18">
        <f t="shared" si="4"/>
        <v>0.439512506276369</v>
      </c>
      <c r="U18">
        <f t="shared" si="4"/>
        <v>0.43806250885129</v>
      </c>
      <c r="V18">
        <f t="shared" si="4"/>
        <v>0.453812504038214</v>
      </c>
      <c r="W18">
        <f t="shared" si="4"/>
        <v>0.418524995967746</v>
      </c>
      <c r="X18">
        <f t="shared" si="4"/>
        <v>0.462962498888373</v>
      </c>
      <c r="Y18">
        <f t="shared" si="4"/>
        <v>0.437474992126226</v>
      </c>
      <c r="Z18">
        <f t="shared" si="4"/>
        <v>0.450299993157387</v>
      </c>
      <c r="AA18">
        <f t="shared" si="4"/>
        <v>0.493562520332634</v>
      </c>
      <c r="AB18">
        <f t="shared" si="4"/>
        <v>0.465987495146692</v>
      </c>
      <c r="AC18">
        <f t="shared" si="4"/>
        <v>0.461487502083182</v>
      </c>
      <c r="AD18">
        <f t="shared" si="4"/>
        <v>0.48490001000464</v>
      </c>
    </row>
    <row r="20" spans="1:30">
      <c r="A20" t="s">
        <v>48</v>
      </c>
      <c r="C20" t="s">
        <v>15</v>
      </c>
    </row>
    <row r="21" spans="1:30">
      <c r="B21">
        <f t="shared" ref="B21:AD21" si="5">B14/0.500187486410141</f>
        <v>0.745220534957325</v>
      </c>
      <c r="C21">
        <f t="shared" si="5"/>
        <v>0.758915403079941</v>
      </c>
      <c r="D21">
        <f t="shared" si="5"/>
        <v>0.791603163748791</v>
      </c>
      <c r="E21">
        <f t="shared" si="5"/>
        <v>0.785105592651166</v>
      </c>
      <c r="F21">
        <f t="shared" si="5"/>
        <v>0.800699807853031</v>
      </c>
      <c r="G21">
        <f t="shared" si="5"/>
        <v>0.782040087827492</v>
      </c>
      <c r="H21">
        <f t="shared" si="5"/>
        <v>0.793202592283007</v>
      </c>
      <c r="I21">
        <f t="shared" si="5"/>
        <v>0.849214931758105</v>
      </c>
      <c r="J21">
        <f t="shared" si="5"/>
        <v>0.936448852733818</v>
      </c>
      <c r="K21">
        <f t="shared" si="5"/>
        <v>0.849548102590637</v>
      </c>
      <c r="L21">
        <f t="shared" si="5"/>
        <v>0.927352221439774</v>
      </c>
      <c r="M21">
        <f t="shared" si="5"/>
        <v>0.882202514845874</v>
      </c>
      <c r="N21">
        <f t="shared" si="5"/>
        <v>0.907259811075243</v>
      </c>
      <c r="O21">
        <f t="shared" si="5"/>
        <v>0.841884364215417</v>
      </c>
      <c r="P21">
        <f t="shared" si="5"/>
        <v>1.01032114444258</v>
      </c>
      <c r="Q21">
        <f t="shared" si="5"/>
        <v>0.844883204684217</v>
      </c>
      <c r="R21">
        <f t="shared" si="5"/>
        <v>0.8829689617313</v>
      </c>
      <c r="S21">
        <f t="shared" si="5"/>
        <v>0.875571676408274</v>
      </c>
      <c r="T21">
        <f t="shared" si="5"/>
        <v>0.869473980616804</v>
      </c>
      <c r="U21">
        <f t="shared" si="5"/>
        <v>0.914057309357335</v>
      </c>
      <c r="V21">
        <f t="shared" si="5"/>
        <v>0.906460075954328</v>
      </c>
      <c r="W21">
        <f t="shared" si="5"/>
        <v>0.873572402954877</v>
      </c>
      <c r="X21">
        <f t="shared" si="5"/>
        <v>0.876871204570058</v>
      </c>
      <c r="Y21">
        <f t="shared" si="5"/>
        <v>0.907959537300518</v>
      </c>
      <c r="Z21">
        <f t="shared" si="5"/>
        <v>0.908259400136098</v>
      </c>
      <c r="AA21">
        <f t="shared" si="5"/>
        <v>1.0409097186899</v>
      </c>
      <c r="AB21">
        <f t="shared" si="5"/>
        <v>0.974834468445719</v>
      </c>
      <c r="AC21">
        <f t="shared" si="5"/>
        <v>0.958340604856899</v>
      </c>
      <c r="AD21">
        <f t="shared" si="5"/>
        <v>0.982531578471651</v>
      </c>
    </row>
    <row r="22" spans="1:30">
      <c r="B22">
        <f t="shared" ref="B22:AD22" si="6">B15/0.500187486410141</f>
        <v>0.75301763749376</v>
      </c>
      <c r="C22">
        <f t="shared" si="6"/>
        <v>0.780174117364149</v>
      </c>
      <c r="D22">
        <f t="shared" si="6"/>
        <v>0.785505463786561</v>
      </c>
      <c r="E22">
        <f t="shared" si="6"/>
        <v>0.762664005204633</v>
      </c>
      <c r="F22">
        <f t="shared" si="6"/>
        <v>0.781506945479273</v>
      </c>
      <c r="G22">
        <f t="shared" si="6"/>
        <v>0.775775727921465</v>
      </c>
      <c r="H22">
        <f t="shared" si="6"/>
        <v>0.803198776632321</v>
      </c>
      <c r="I22">
        <f t="shared" si="6"/>
        <v>0.798900443353903</v>
      </c>
      <c r="J22">
        <f t="shared" si="6"/>
        <v>0.819292818241146</v>
      </c>
      <c r="K22">
        <f t="shared" si="6"/>
        <v>0.81329504356072</v>
      </c>
      <c r="L22">
        <f t="shared" si="6"/>
        <v>0.81239534740862</v>
      </c>
      <c r="M22">
        <f t="shared" si="6"/>
        <v>0.827556387152379</v>
      </c>
      <c r="N22">
        <f t="shared" si="6"/>
        <v>0.907359791967196</v>
      </c>
      <c r="O22">
        <f t="shared" si="6"/>
        <v>0.838285692614779</v>
      </c>
      <c r="P22">
        <f t="shared" si="6"/>
        <v>0.829488988803115</v>
      </c>
      <c r="Q22">
        <f t="shared" si="6"/>
        <v>0.848681757036834</v>
      </c>
      <c r="R22">
        <f t="shared" si="6"/>
        <v>0.85717858073405</v>
      </c>
      <c r="S22">
        <f t="shared" si="6"/>
        <v>0.843183812536916</v>
      </c>
      <c r="T22">
        <f t="shared" si="6"/>
        <v>0.870973426471596</v>
      </c>
      <c r="U22">
        <f t="shared" si="6"/>
        <v>0.864875675864406</v>
      </c>
      <c r="V22">
        <f t="shared" si="6"/>
        <v>0.845582926142909</v>
      </c>
      <c r="W22">
        <f t="shared" si="6"/>
        <v>0.81419470316901</v>
      </c>
      <c r="X22">
        <f t="shared" si="6"/>
        <v>0.853779904283413</v>
      </c>
      <c r="Y22">
        <f t="shared" si="6"/>
        <v>0.911358231030023</v>
      </c>
      <c r="Z22">
        <f t="shared" si="6"/>
        <v>0.854179686641177</v>
      </c>
      <c r="AA22">
        <f t="shared" si="6"/>
        <v>0.945545457215824</v>
      </c>
      <c r="AB22">
        <f t="shared" si="6"/>
        <v>0.868574324186238</v>
      </c>
      <c r="AC22">
        <f t="shared" si="6"/>
        <v>0.862976417860701</v>
      </c>
      <c r="AD22">
        <f t="shared" si="6"/>
        <v>0.886267676356318</v>
      </c>
    </row>
    <row r="23" spans="1:30">
      <c r="B23">
        <f t="shared" ref="B23:AD23" si="7">B16/0.500187486410141</f>
        <v>0.768911683654674</v>
      </c>
      <c r="C23">
        <f t="shared" si="7"/>
        <v>0.737390155803948</v>
      </c>
      <c r="D23">
        <f t="shared" si="7"/>
        <v>0.767612121233065</v>
      </c>
      <c r="E23">
        <f t="shared" si="7"/>
        <v>0.775209307268141</v>
      </c>
      <c r="F23">
        <f t="shared" si="7"/>
        <v>0.793202513634368</v>
      </c>
      <c r="G23">
        <f t="shared" si="7"/>
        <v>0.771044174796127</v>
      </c>
      <c r="H23">
        <f t="shared" si="7"/>
        <v>0.793702353149434</v>
      </c>
      <c r="I23">
        <f t="shared" si="7"/>
        <v>0.808963309932781</v>
      </c>
      <c r="J23">
        <f t="shared" si="7"/>
        <v>0.882269197373349</v>
      </c>
      <c r="K23">
        <f t="shared" si="7"/>
        <v>0.827689657173557</v>
      </c>
      <c r="L23">
        <f t="shared" si="7"/>
        <v>0.808896664743549</v>
      </c>
      <c r="M23">
        <f t="shared" si="7"/>
        <v>0.910258699209885</v>
      </c>
      <c r="N23">
        <f t="shared" si="7"/>
        <v>0.933549918977005</v>
      </c>
      <c r="O23">
        <f t="shared" si="7"/>
        <v>0.812095514364191</v>
      </c>
      <c r="P23">
        <f t="shared" si="7"/>
        <v>0.821092129314809</v>
      </c>
      <c r="Q23">
        <f t="shared" si="7"/>
        <v>0.829389011188187</v>
      </c>
      <c r="R23">
        <f t="shared" si="7"/>
        <v>0.870073772424321</v>
      </c>
      <c r="S23">
        <f t="shared" si="7"/>
        <v>0.857778382670559</v>
      </c>
      <c r="T23">
        <f t="shared" si="7"/>
        <v>0.868074490033579</v>
      </c>
      <c r="U23">
        <f t="shared" si="7"/>
        <v>0.931150858399261</v>
      </c>
      <c r="V23">
        <f t="shared" si="7"/>
        <v>0.940647311673298</v>
      </c>
      <c r="W23">
        <f t="shared" si="7"/>
        <v>0.842184206793013</v>
      </c>
      <c r="X23">
        <f t="shared" si="7"/>
        <v>0.935549137614683</v>
      </c>
      <c r="Y23">
        <f t="shared" si="7"/>
        <v>0.790703516255572</v>
      </c>
      <c r="Z23">
        <f t="shared" si="7"/>
        <v>0.872772761378179</v>
      </c>
      <c r="AA23">
        <f t="shared" si="7"/>
        <v>0.984830774938753</v>
      </c>
      <c r="AB23">
        <f t="shared" si="7"/>
        <v>0.895064333097963</v>
      </c>
      <c r="AC23">
        <f t="shared" si="7"/>
        <v>0.920055029619256</v>
      </c>
      <c r="AD23">
        <f t="shared" si="7"/>
        <v>1.0233163143436</v>
      </c>
    </row>
    <row r="24" spans="1:30">
      <c r="B24">
        <f t="shared" ref="B24:AD24" si="8">B17/0.500187486410141</f>
        <v>0.778807948183893</v>
      </c>
      <c r="C24">
        <f t="shared" si="8"/>
        <v>0.781040506015816</v>
      </c>
      <c r="D24">
        <f t="shared" si="8"/>
        <v>0.794602055458373</v>
      </c>
      <c r="E24">
        <f t="shared" si="8"/>
        <v>0.789453987775023</v>
      </c>
      <c r="F24">
        <f t="shared" si="8"/>
        <v>0.847482268157663</v>
      </c>
      <c r="G24">
        <f t="shared" si="8"/>
        <v>0.779041204757346</v>
      </c>
      <c r="H24">
        <f t="shared" si="8"/>
        <v>0.820692242688015</v>
      </c>
      <c r="I24">
        <f t="shared" si="8"/>
        <v>0.811828888523318</v>
      </c>
      <c r="J24">
        <f t="shared" si="8"/>
        <v>0.90855934400361</v>
      </c>
      <c r="K24">
        <f t="shared" si="8"/>
        <v>0.803965176447727</v>
      </c>
      <c r="L24">
        <f t="shared" si="8"/>
        <v>0.818393155256527</v>
      </c>
      <c r="M24">
        <f t="shared" si="8"/>
        <v>0.902661563323248</v>
      </c>
      <c r="N24">
        <f t="shared" si="8"/>
        <v>0.973634964968883</v>
      </c>
      <c r="O24">
        <f t="shared" si="8"/>
        <v>0.822891408809851</v>
      </c>
      <c r="P24">
        <f t="shared" si="8"/>
        <v>0.846482576615245</v>
      </c>
      <c r="Q24">
        <f t="shared" si="8"/>
        <v>0.953942343516167</v>
      </c>
      <c r="R24">
        <f t="shared" si="8"/>
        <v>0.922953868938119</v>
      </c>
      <c r="S24">
        <f t="shared" si="8"/>
        <v>0.779607667813408</v>
      </c>
      <c r="T24">
        <f t="shared" si="8"/>
        <v>0.906260205331341</v>
      </c>
      <c r="U24">
        <f t="shared" si="8"/>
        <v>0.793102627478274</v>
      </c>
      <c r="V24">
        <f t="shared" si="8"/>
        <v>0.936448889972757</v>
      </c>
      <c r="W24">
        <f t="shared" si="8"/>
        <v>0.816993641436203</v>
      </c>
      <c r="X24">
        <f t="shared" si="8"/>
        <v>1.03611147836981</v>
      </c>
      <c r="Y24">
        <f t="shared" si="8"/>
        <v>0.888466814474472</v>
      </c>
      <c r="Z24">
        <f t="shared" si="8"/>
        <v>0.965837801360586</v>
      </c>
      <c r="AA24">
        <f t="shared" si="8"/>
        <v>0.975734186543968</v>
      </c>
      <c r="AB24">
        <f t="shared" si="8"/>
        <v>0.988029498244914</v>
      </c>
      <c r="AC24">
        <f t="shared" si="8"/>
        <v>0.949144121070763</v>
      </c>
      <c r="AD24">
        <f t="shared" si="8"/>
        <v>0.98563046150009</v>
      </c>
    </row>
    <row r="26" spans="1:30">
      <c r="A26" t="s">
        <v>49</v>
      </c>
      <c r="C26" t="s">
        <v>17</v>
      </c>
    </row>
    <row r="27" spans="1:30">
      <c r="B27">
        <f t="shared" ref="B27:AD27" si="9">(0.9513-B21)/0.3281</f>
        <v>0.628099558191634</v>
      </c>
      <c r="C27">
        <f t="shared" si="9"/>
        <v>0.586359637062052</v>
      </c>
      <c r="D27">
        <f t="shared" si="9"/>
        <v>0.486732204362111</v>
      </c>
      <c r="E27">
        <f t="shared" si="9"/>
        <v>0.506535834650516</v>
      </c>
      <c r="F27">
        <f t="shared" si="9"/>
        <v>0.45900698612304</v>
      </c>
      <c r="G27">
        <f t="shared" si="9"/>
        <v>0.51587903740478</v>
      </c>
      <c r="H27">
        <f t="shared" si="9"/>
        <v>0.481857384081051</v>
      </c>
      <c r="I27">
        <f t="shared" si="9"/>
        <v>0.311140104364203</v>
      </c>
      <c r="J27">
        <f t="shared" si="9"/>
        <v>0.0452640879798299</v>
      </c>
      <c r="K27">
        <f t="shared" si="9"/>
        <v>0.310124649220857</v>
      </c>
      <c r="L27">
        <f t="shared" si="9"/>
        <v>0.0729892671753304</v>
      </c>
      <c r="M27">
        <f t="shared" si="9"/>
        <v>0.210598857525528</v>
      </c>
      <c r="N27">
        <f t="shared" si="9"/>
        <v>0.134227945518919</v>
      </c>
      <c r="O27">
        <f t="shared" si="9"/>
        <v>0.333482583921312</v>
      </c>
      <c r="P27">
        <f t="shared" si="9"/>
        <v>-0.179887669742691</v>
      </c>
      <c r="Q27">
        <f t="shared" si="9"/>
        <v>0.324342564205374</v>
      </c>
      <c r="R27">
        <f t="shared" si="9"/>
        <v>0.208262841416338</v>
      </c>
      <c r="S27">
        <f t="shared" si="9"/>
        <v>0.23080866684464</v>
      </c>
      <c r="T27">
        <f t="shared" si="9"/>
        <v>0.249393536675391</v>
      </c>
      <c r="U27">
        <f t="shared" si="9"/>
        <v>0.113510181781971</v>
      </c>
      <c r="V27">
        <f t="shared" si="9"/>
        <v>0.136665419218751</v>
      </c>
      <c r="W27">
        <f t="shared" si="9"/>
        <v>0.236902154968372</v>
      </c>
      <c r="X27">
        <f t="shared" si="9"/>
        <v>0.226847898293027</v>
      </c>
      <c r="Y27">
        <f t="shared" si="9"/>
        <v>0.13209528405816</v>
      </c>
      <c r="Z27">
        <f t="shared" si="9"/>
        <v>0.131181346735453</v>
      </c>
      <c r="AA27">
        <f t="shared" si="9"/>
        <v>-0.273117094452609</v>
      </c>
      <c r="AB27">
        <f t="shared" si="9"/>
        <v>-0.0717295594200509</v>
      </c>
      <c r="AC27">
        <f t="shared" si="9"/>
        <v>-0.0214587164184671</v>
      </c>
      <c r="AD27">
        <f t="shared" si="9"/>
        <v>-0.0951892059483411</v>
      </c>
    </row>
    <row r="28" spans="1:30">
      <c r="B28">
        <f t="shared" ref="B28:AD28" si="10">(0.9513-B22)/0.3281</f>
        <v>0.604335149363729</v>
      </c>
      <c r="C28">
        <f t="shared" si="10"/>
        <v>0.521566237841668</v>
      </c>
      <c r="D28">
        <f t="shared" si="10"/>
        <v>0.505317086904722</v>
      </c>
      <c r="E28">
        <f t="shared" si="10"/>
        <v>0.574934455334859</v>
      </c>
      <c r="F28">
        <f t="shared" si="10"/>
        <v>0.517503975985147</v>
      </c>
      <c r="G28">
        <f t="shared" si="10"/>
        <v>0.534971874667892</v>
      </c>
      <c r="H28">
        <f t="shared" si="10"/>
        <v>0.451390500968239</v>
      </c>
      <c r="I28">
        <f t="shared" si="10"/>
        <v>0.464491181487649</v>
      </c>
      <c r="J28">
        <f t="shared" si="10"/>
        <v>0.4023382558941</v>
      </c>
      <c r="K28">
        <f t="shared" si="10"/>
        <v>0.42061858104017</v>
      </c>
      <c r="L28">
        <f t="shared" si="10"/>
        <v>0.423360721095338</v>
      </c>
      <c r="M28">
        <f t="shared" si="10"/>
        <v>0.377152126935754</v>
      </c>
      <c r="N28">
        <f t="shared" si="10"/>
        <v>0.133923218630917</v>
      </c>
      <c r="O28">
        <f t="shared" si="10"/>
        <v>0.344450799711126</v>
      </c>
      <c r="P28">
        <f t="shared" si="10"/>
        <v>0.371261844550092</v>
      </c>
      <c r="Q28">
        <f t="shared" si="10"/>
        <v>0.31276514161282</v>
      </c>
      <c r="R28">
        <f t="shared" si="10"/>
        <v>0.286868086759981</v>
      </c>
      <c r="S28">
        <f t="shared" si="10"/>
        <v>0.329522058711016</v>
      </c>
      <c r="T28">
        <f t="shared" si="10"/>
        <v>0.244823448730278</v>
      </c>
      <c r="U28">
        <f t="shared" si="10"/>
        <v>0.263408485631191</v>
      </c>
      <c r="V28">
        <f t="shared" si="10"/>
        <v>0.32220991727245</v>
      </c>
      <c r="W28">
        <f t="shared" si="10"/>
        <v>0.417876552365103</v>
      </c>
      <c r="X28">
        <f t="shared" si="10"/>
        <v>0.297226747078899</v>
      </c>
      <c r="Y28">
        <f t="shared" si="10"/>
        <v>0.121736571075823</v>
      </c>
      <c r="Z28">
        <f t="shared" si="10"/>
        <v>0.296008269914121</v>
      </c>
      <c r="AA28">
        <f t="shared" si="10"/>
        <v>0.0175389905034308</v>
      </c>
      <c r="AB28">
        <f t="shared" si="10"/>
        <v>0.252135555665229</v>
      </c>
      <c r="AC28">
        <f t="shared" si="10"/>
        <v>0.269197141540076</v>
      </c>
      <c r="AD28">
        <f t="shared" si="10"/>
        <v>0.198208849874069</v>
      </c>
    </row>
    <row r="29" spans="1:30">
      <c r="B29">
        <f t="shared" ref="B29:AD29" si="11">(0.9513-B23)/0.3281</f>
        <v>0.555892460668475</v>
      </c>
      <c r="C29">
        <f t="shared" si="11"/>
        <v>0.651965389198572</v>
      </c>
      <c r="D29">
        <f t="shared" si="11"/>
        <v>0.559853333638936</v>
      </c>
      <c r="E29">
        <f t="shared" si="11"/>
        <v>0.536698240572567</v>
      </c>
      <c r="F29">
        <f t="shared" si="11"/>
        <v>0.481857623790405</v>
      </c>
      <c r="G29">
        <f t="shared" si="11"/>
        <v>0.549392944845698</v>
      </c>
      <c r="H29">
        <f t="shared" si="11"/>
        <v>0.480334187292185</v>
      </c>
      <c r="I29">
        <f t="shared" si="11"/>
        <v>0.433821060857114</v>
      </c>
      <c r="J29">
        <f t="shared" si="11"/>
        <v>0.210395619099819</v>
      </c>
      <c r="K29">
        <f t="shared" si="11"/>
        <v>0.376745939733139</v>
      </c>
      <c r="L29">
        <f t="shared" si="11"/>
        <v>0.43402418548141</v>
      </c>
      <c r="M29">
        <f t="shared" si="11"/>
        <v>0.125087780524581</v>
      </c>
      <c r="N29">
        <f t="shared" si="11"/>
        <v>0.0540996068972719</v>
      </c>
      <c r="O29">
        <f t="shared" si="11"/>
        <v>0.424274567619046</v>
      </c>
      <c r="P29">
        <f t="shared" si="11"/>
        <v>0.396854223362362</v>
      </c>
      <c r="Q29">
        <f t="shared" si="11"/>
        <v>0.371566561450207</v>
      </c>
      <c r="R29">
        <f t="shared" si="11"/>
        <v>0.247565460456199</v>
      </c>
      <c r="S29">
        <f t="shared" si="11"/>
        <v>0.285039979669128</v>
      </c>
      <c r="T29">
        <f t="shared" si="11"/>
        <v>0.253658975819632</v>
      </c>
      <c r="U29">
        <f t="shared" si="11"/>
        <v>0.0614115867136202</v>
      </c>
      <c r="V29">
        <f t="shared" si="11"/>
        <v>0.0324678095906789</v>
      </c>
      <c r="W29">
        <f t="shared" si="11"/>
        <v>0.332568708341929</v>
      </c>
      <c r="X29">
        <f t="shared" si="11"/>
        <v>0.0480062858436963</v>
      </c>
      <c r="Y29">
        <f t="shared" si="11"/>
        <v>0.489474196112247</v>
      </c>
      <c r="Z29">
        <f t="shared" si="11"/>
        <v>0.239339343559344</v>
      </c>
      <c r="AA29">
        <f t="shared" si="11"/>
        <v>-0.102196814808756</v>
      </c>
      <c r="AB29">
        <f t="shared" si="11"/>
        <v>0.171397948497521</v>
      </c>
      <c r="AC29">
        <f t="shared" si="11"/>
        <v>0.0952300224954107</v>
      </c>
      <c r="AD29">
        <f t="shared" si="11"/>
        <v>-0.219495014762571</v>
      </c>
    </row>
    <row r="30" spans="1:30">
      <c r="B30">
        <f t="shared" ref="B30:AD30" si="12">(0.9513-B24)/0.3281</f>
        <v>0.52573011830572</v>
      </c>
      <c r="C30">
        <f t="shared" si="12"/>
        <v>0.518925614093824</v>
      </c>
      <c r="D30">
        <f t="shared" si="12"/>
        <v>0.477592028471891</v>
      </c>
      <c r="E30">
        <f t="shared" si="12"/>
        <v>0.493282573072164</v>
      </c>
      <c r="F30">
        <f t="shared" si="12"/>
        <v>0.316421005310384</v>
      </c>
      <c r="G30">
        <f t="shared" si="12"/>
        <v>0.525019186963287</v>
      </c>
      <c r="H30">
        <f t="shared" si="12"/>
        <v>0.398073018323636</v>
      </c>
      <c r="I30">
        <f t="shared" si="12"/>
        <v>0.425087203525394</v>
      </c>
      <c r="J30">
        <f t="shared" si="12"/>
        <v>0.130267162439469</v>
      </c>
      <c r="K30">
        <f t="shared" si="12"/>
        <v>0.449054628321465</v>
      </c>
      <c r="L30">
        <f t="shared" si="12"/>
        <v>0.405080294859718</v>
      </c>
      <c r="M30">
        <f t="shared" si="12"/>
        <v>0.148242720745969</v>
      </c>
      <c r="N30">
        <f t="shared" si="12"/>
        <v>-0.0680736512309746</v>
      </c>
      <c r="O30">
        <f t="shared" si="12"/>
        <v>0.391370287077566</v>
      </c>
      <c r="P30">
        <f t="shared" si="12"/>
        <v>0.319467916442411</v>
      </c>
      <c r="Q30">
        <f t="shared" si="12"/>
        <v>-0.00805347002794064</v>
      </c>
      <c r="R30">
        <f t="shared" si="12"/>
        <v>0.0863947914107938</v>
      </c>
      <c r="S30">
        <f t="shared" si="12"/>
        <v>0.523292691821373</v>
      </c>
      <c r="T30">
        <f t="shared" si="12"/>
        <v>0.137274595149829</v>
      </c>
      <c r="U30">
        <f t="shared" si="12"/>
        <v>0.482162061937599</v>
      </c>
      <c r="V30">
        <f t="shared" si="12"/>
        <v>0.0452639744810814</v>
      </c>
      <c r="W30">
        <f t="shared" si="12"/>
        <v>0.409345804827178</v>
      </c>
      <c r="X30">
        <f t="shared" si="12"/>
        <v>-0.258492771623915</v>
      </c>
      <c r="Y30">
        <f t="shared" si="12"/>
        <v>0.191506203979056</v>
      </c>
      <c r="Z30">
        <f t="shared" si="12"/>
        <v>-0.0443090562651194</v>
      </c>
      <c r="AA30">
        <f t="shared" si="12"/>
        <v>-0.0744717663638146</v>
      </c>
      <c r="AB30">
        <f t="shared" si="12"/>
        <v>-0.111946047683371</v>
      </c>
      <c r="AC30">
        <f t="shared" si="12"/>
        <v>0.00657079832135619</v>
      </c>
      <c r="AD30">
        <f t="shared" si="12"/>
        <v>-0.104634140506219</v>
      </c>
    </row>
    <row r="31" spans="1:30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O31" s="1"/>
      <c r="P31" s="1"/>
      <c r="Q31" s="1"/>
    </row>
    <row r="32" spans="1:30">
      <c r="A32" t="s">
        <v>50</v>
      </c>
      <c r="B32" s="1"/>
      <c r="C32" s="1" t="s">
        <v>51</v>
      </c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</row>
    <row r="33" spans="1:30">
      <c r="B33" s="1">
        <f t="shared" ref="B33:AD33" si="13">10^(B27)</f>
        <v>4.24716915406125</v>
      </c>
      <c r="C33" s="1">
        <f t="shared" si="13"/>
        <v>3.85797702548143</v>
      </c>
      <c r="D33" s="1">
        <f t="shared" si="13"/>
        <v>3.06713014450294</v>
      </c>
      <c r="E33" s="1">
        <f t="shared" si="13"/>
        <v>3.21022767665506</v>
      </c>
      <c r="F33" s="1">
        <f t="shared" si="13"/>
        <v>2.87744470134966</v>
      </c>
      <c r="G33" s="2">
        <f t="shared" si="13"/>
        <v>3.28003922549317</v>
      </c>
      <c r="H33" s="2">
        <f t="shared" si="13"/>
        <v>3.03289506252577</v>
      </c>
      <c r="I33" s="2">
        <f t="shared" si="13"/>
        <v>2.04710493080901</v>
      </c>
      <c r="J33" s="2">
        <f t="shared" si="13"/>
        <v>1.10984949299044</v>
      </c>
      <c r="K33" s="2">
        <f t="shared" si="13"/>
        <v>2.04232403908464</v>
      </c>
      <c r="L33" s="2">
        <f t="shared" si="13"/>
        <v>1.18301231929406</v>
      </c>
      <c r="M33" s="2">
        <f t="shared" si="13"/>
        <v>1.62404798698637</v>
      </c>
      <c r="N33" s="2">
        <f t="shared" si="13"/>
        <v>1.36215944326466</v>
      </c>
      <c r="O33" s="5">
        <f t="shared" si="13"/>
        <v>2.1551752149899</v>
      </c>
      <c r="P33" s="5">
        <f t="shared" si="13"/>
        <v>0.660864358454087</v>
      </c>
      <c r="Q33" s="5">
        <f t="shared" si="13"/>
        <v>2.1102920566065</v>
      </c>
      <c r="R33" s="5">
        <f t="shared" si="13"/>
        <v>1.61533588611707</v>
      </c>
      <c r="S33" s="5">
        <f t="shared" si="13"/>
        <v>1.70140876912437</v>
      </c>
      <c r="T33" s="5">
        <f t="shared" si="13"/>
        <v>1.7757978942962</v>
      </c>
      <c r="U33" s="5">
        <f t="shared" si="13"/>
        <v>1.29870401083375</v>
      </c>
      <c r="V33" s="5">
        <f t="shared" si="13"/>
        <v>1.36982604458266</v>
      </c>
      <c r="W33" s="6">
        <f t="shared" si="13"/>
        <v>1.72544911053135</v>
      </c>
      <c r="X33" s="6">
        <f t="shared" si="13"/>
        <v>1.68596245219812</v>
      </c>
      <c r="Y33" s="6">
        <f t="shared" si="13"/>
        <v>1.35548677305562</v>
      </c>
      <c r="Z33" s="6">
        <f t="shared" si="13"/>
        <v>1.3526372610091</v>
      </c>
      <c r="AA33" s="6">
        <f t="shared" si="13"/>
        <v>0.533191117148165</v>
      </c>
      <c r="AB33" s="6">
        <f t="shared" si="13"/>
        <v>0.847755157496735</v>
      </c>
      <c r="AC33" s="6">
        <f t="shared" si="13"/>
        <v>0.951790320010202</v>
      </c>
      <c r="AD33" s="6">
        <f t="shared" si="13"/>
        <v>0.80317613199283</v>
      </c>
    </row>
    <row r="34" spans="1:30">
      <c r="B34" s="1">
        <f t="shared" ref="B34:AD34" si="14">10^(B28)</f>
        <v>4.02100996478263</v>
      </c>
      <c r="C34" s="1">
        <f t="shared" si="14"/>
        <v>3.32327467355337</v>
      </c>
      <c r="D34" s="1">
        <f t="shared" si="14"/>
        <v>3.20123153847775</v>
      </c>
      <c r="E34" s="1">
        <f t="shared" si="14"/>
        <v>3.75780686372346</v>
      </c>
      <c r="F34" s="1">
        <f t="shared" si="14"/>
        <v>3.29233467466533</v>
      </c>
      <c r="G34" s="2">
        <f t="shared" si="14"/>
        <v>3.42745589290721</v>
      </c>
      <c r="H34" s="2">
        <f t="shared" si="14"/>
        <v>2.82742114110806</v>
      </c>
      <c r="I34" s="2">
        <f t="shared" si="14"/>
        <v>2.91401096408444</v>
      </c>
      <c r="J34" s="2">
        <f t="shared" si="14"/>
        <v>2.52544698383864</v>
      </c>
      <c r="K34" s="2">
        <f t="shared" si="14"/>
        <v>2.63401704524419</v>
      </c>
      <c r="L34" s="2">
        <f t="shared" si="14"/>
        <v>2.65070087285849</v>
      </c>
      <c r="M34" s="2">
        <f t="shared" si="14"/>
        <v>2.38315410681709</v>
      </c>
      <c r="N34" s="2">
        <f t="shared" si="14"/>
        <v>1.36120400626349</v>
      </c>
      <c r="O34" s="5">
        <f t="shared" si="14"/>
        <v>2.210297842221</v>
      </c>
      <c r="P34" s="5">
        <f t="shared" si="14"/>
        <v>2.35104988710495</v>
      </c>
      <c r="Q34" s="5">
        <f t="shared" si="14"/>
        <v>2.05477910910845</v>
      </c>
      <c r="R34" s="5">
        <f t="shared" si="14"/>
        <v>1.93583388162905</v>
      </c>
      <c r="S34" s="5">
        <f t="shared" si="14"/>
        <v>2.13561055535039</v>
      </c>
      <c r="T34" s="5">
        <f t="shared" si="14"/>
        <v>1.75720912049306</v>
      </c>
      <c r="U34" s="5">
        <f t="shared" si="14"/>
        <v>1.83403865846491</v>
      </c>
      <c r="V34" s="5">
        <f t="shared" si="14"/>
        <v>2.09995465644326</v>
      </c>
      <c r="W34" s="6">
        <f t="shared" si="14"/>
        <v>2.6174388989058</v>
      </c>
      <c r="X34" s="6">
        <f t="shared" si="14"/>
        <v>1.98256185999294</v>
      </c>
      <c r="Y34" s="6">
        <f t="shared" si="14"/>
        <v>1.32353847622151</v>
      </c>
      <c r="Z34" s="6">
        <f t="shared" si="14"/>
        <v>1.97700728628396</v>
      </c>
      <c r="AA34" s="6">
        <f t="shared" si="14"/>
        <v>1.04121158231188</v>
      </c>
      <c r="AB34" s="6">
        <f t="shared" si="14"/>
        <v>1.78704527548952</v>
      </c>
      <c r="AC34" s="6">
        <f t="shared" si="14"/>
        <v>1.85864796931133</v>
      </c>
      <c r="AD34" s="6">
        <f t="shared" si="14"/>
        <v>1.57837011689856</v>
      </c>
    </row>
    <row r="35" spans="1:30">
      <c r="B35" s="1">
        <f t="shared" ref="B35:AD35" si="15">10^(B29)</f>
        <v>3.59660265606868</v>
      </c>
      <c r="C35" s="1">
        <f t="shared" si="15"/>
        <v>4.48709628901476</v>
      </c>
      <c r="D35" s="1">
        <f t="shared" si="15"/>
        <v>3.62955459737228</v>
      </c>
      <c r="E35" s="1">
        <f t="shared" si="15"/>
        <v>3.44110750320997</v>
      </c>
      <c r="F35" s="1">
        <f t="shared" si="15"/>
        <v>3.03289673653626</v>
      </c>
      <c r="G35" s="2">
        <f t="shared" si="15"/>
        <v>3.54317778906318</v>
      </c>
      <c r="H35" s="2">
        <f t="shared" si="15"/>
        <v>3.02227645149582</v>
      </c>
      <c r="I35" s="2">
        <f t="shared" si="15"/>
        <v>2.71532026500401</v>
      </c>
      <c r="J35" s="2">
        <f t="shared" si="15"/>
        <v>1.62328815293334</v>
      </c>
      <c r="K35" s="2">
        <f t="shared" si="15"/>
        <v>2.38092623102655</v>
      </c>
      <c r="L35" s="2">
        <f t="shared" si="15"/>
        <v>2.71659054918814</v>
      </c>
      <c r="M35" s="2">
        <f t="shared" si="15"/>
        <v>1.33379099359331</v>
      </c>
      <c r="N35" s="2">
        <f t="shared" si="15"/>
        <v>1.13266011284621</v>
      </c>
      <c r="O35" s="5">
        <f t="shared" si="15"/>
        <v>2.65628437487458</v>
      </c>
      <c r="P35" s="5">
        <f t="shared" si="15"/>
        <v>2.49375752402884</v>
      </c>
      <c r="Q35" s="5">
        <f t="shared" si="15"/>
        <v>2.352700048574</v>
      </c>
      <c r="R35" s="5">
        <f t="shared" si="15"/>
        <v>1.76833873628747</v>
      </c>
      <c r="S35" s="5">
        <f t="shared" si="15"/>
        <v>1.92770236272946</v>
      </c>
      <c r="T35" s="5">
        <f t="shared" si="15"/>
        <v>1.79332488840459</v>
      </c>
      <c r="U35" s="5">
        <f t="shared" si="15"/>
        <v>1.1518915348949</v>
      </c>
      <c r="V35" s="5">
        <f t="shared" si="15"/>
        <v>1.07762537589475</v>
      </c>
      <c r="W35" s="6">
        <f t="shared" si="15"/>
        <v>2.15064489908279</v>
      </c>
      <c r="X35" s="6">
        <f t="shared" si="15"/>
        <v>1.11687941302996</v>
      </c>
      <c r="Y35" s="6">
        <f t="shared" si="15"/>
        <v>3.08655625049815</v>
      </c>
      <c r="Z35" s="6">
        <f t="shared" si="15"/>
        <v>1.73515926512457</v>
      </c>
      <c r="AA35" s="6">
        <f t="shared" si="15"/>
        <v>0.790320387190353</v>
      </c>
      <c r="AB35" s="6">
        <f t="shared" si="15"/>
        <v>1.48387715427436</v>
      </c>
      <c r="AC35" s="6">
        <f t="shared" si="15"/>
        <v>1.24517393900638</v>
      </c>
      <c r="AD35" s="6">
        <f t="shared" si="15"/>
        <v>0.603260632675487</v>
      </c>
    </row>
    <row r="36" spans="1:30">
      <c r="B36" s="1">
        <f t="shared" ref="B36:AD36" si="16">10^(B30)</f>
        <v>3.35529043118382</v>
      </c>
      <c r="C36" s="1">
        <f t="shared" si="16"/>
        <v>3.30312960227619</v>
      </c>
      <c r="D36" s="1">
        <f t="shared" si="16"/>
        <v>3.00325375308223</v>
      </c>
      <c r="E36" s="1">
        <f t="shared" si="16"/>
        <v>3.11374162961436</v>
      </c>
      <c r="F36" s="1">
        <f t="shared" si="16"/>
        <v>2.07214911796582</v>
      </c>
      <c r="G36" s="2">
        <f t="shared" si="16"/>
        <v>3.34980238129088</v>
      </c>
      <c r="H36" s="2">
        <f t="shared" si="16"/>
        <v>2.50076578236307</v>
      </c>
      <c r="I36" s="2">
        <f t="shared" si="16"/>
        <v>2.66125936983743</v>
      </c>
      <c r="J36" s="2">
        <f t="shared" si="16"/>
        <v>1.34979297162669</v>
      </c>
      <c r="K36" s="2">
        <f t="shared" si="16"/>
        <v>2.81225455141149</v>
      </c>
      <c r="L36" s="2">
        <f t="shared" si="16"/>
        <v>2.54144253861754</v>
      </c>
      <c r="M36" s="2">
        <f t="shared" si="16"/>
        <v>1.40683356287371</v>
      </c>
      <c r="N36" s="2">
        <f t="shared" si="16"/>
        <v>0.854921715932522</v>
      </c>
      <c r="O36" s="5">
        <f t="shared" si="16"/>
        <v>2.46246625117995</v>
      </c>
      <c r="P36" s="5">
        <f t="shared" si="16"/>
        <v>2.08673796019976</v>
      </c>
      <c r="Q36" s="5">
        <f t="shared" si="16"/>
        <v>0.981627078351548</v>
      </c>
      <c r="R36" s="5">
        <f t="shared" si="16"/>
        <v>1.22009821403805</v>
      </c>
      <c r="S36" s="5">
        <f t="shared" si="16"/>
        <v>3.33651200507923</v>
      </c>
      <c r="T36" s="5">
        <f t="shared" si="16"/>
        <v>1.37174881958472</v>
      </c>
      <c r="U36" s="5">
        <f t="shared" si="16"/>
        <v>3.03502352654113</v>
      </c>
      <c r="V36" s="5">
        <f t="shared" si="16"/>
        <v>1.10984920294183</v>
      </c>
      <c r="W36" s="6">
        <f t="shared" si="16"/>
        <v>2.56652680737748</v>
      </c>
      <c r="X36" s="6">
        <f t="shared" si="16"/>
        <v>0.551451380635131</v>
      </c>
      <c r="Y36" s="6">
        <f t="shared" si="16"/>
        <v>1.554197492619</v>
      </c>
      <c r="Z36" s="6">
        <f t="shared" si="16"/>
        <v>0.903006639895793</v>
      </c>
      <c r="AA36" s="6">
        <f t="shared" si="16"/>
        <v>0.84241915562225</v>
      </c>
      <c r="AB36" s="6">
        <f t="shared" si="16"/>
        <v>0.772776581012909</v>
      </c>
      <c r="AC36" s="6">
        <f t="shared" si="16"/>
        <v>1.01524485744644</v>
      </c>
      <c r="AD36" s="6">
        <f t="shared" si="16"/>
        <v>0.785897413577605</v>
      </c>
    </row>
    <row r="37" spans="1:30">
      <c r="A37" t="s">
        <v>13</v>
      </c>
      <c r="B37" s="1">
        <f t="shared" ref="B37:AD37" si="17">AVERAGE(B33:B36)</f>
        <v>3.8050180515241</v>
      </c>
      <c r="C37" s="1">
        <f t="shared" si="17"/>
        <v>3.74286939758144</v>
      </c>
      <c r="D37" s="1">
        <f t="shared" si="17"/>
        <v>3.2252925083588</v>
      </c>
      <c r="E37" s="1">
        <f t="shared" si="17"/>
        <v>3.38072091830071</v>
      </c>
      <c r="F37" s="1">
        <f t="shared" si="17"/>
        <v>2.81870630762927</v>
      </c>
      <c r="G37" s="2">
        <f t="shared" si="17"/>
        <v>3.40011882218861</v>
      </c>
      <c r="H37" s="2">
        <f t="shared" si="17"/>
        <v>2.84583960937318</v>
      </c>
      <c r="I37" s="2">
        <f t="shared" si="17"/>
        <v>2.58442388243372</v>
      </c>
      <c r="J37" s="2">
        <f t="shared" si="17"/>
        <v>1.65209440034728</v>
      </c>
      <c r="K37" s="2">
        <f t="shared" si="17"/>
        <v>2.46738046669172</v>
      </c>
      <c r="L37" s="2">
        <f t="shared" si="17"/>
        <v>2.27293656998956</v>
      </c>
      <c r="M37" s="2">
        <f t="shared" si="17"/>
        <v>1.68695666256762</v>
      </c>
      <c r="N37" s="2">
        <f t="shared" si="17"/>
        <v>1.17773631957672</v>
      </c>
      <c r="O37" s="5">
        <f t="shared" si="17"/>
        <v>2.37105592081636</v>
      </c>
      <c r="P37" s="5">
        <f t="shared" si="17"/>
        <v>1.89810243244691</v>
      </c>
      <c r="Q37" s="5">
        <f t="shared" si="17"/>
        <v>1.87484957316013</v>
      </c>
      <c r="R37" s="5">
        <f t="shared" si="17"/>
        <v>1.63490167951791</v>
      </c>
      <c r="S37" s="5">
        <f t="shared" si="17"/>
        <v>2.27530842307087</v>
      </c>
      <c r="T37" s="5">
        <f t="shared" si="17"/>
        <v>1.67452018069464</v>
      </c>
      <c r="U37" s="5">
        <f t="shared" si="17"/>
        <v>1.82991443268367</v>
      </c>
      <c r="V37" s="5">
        <f t="shared" si="17"/>
        <v>1.41431381996563</v>
      </c>
      <c r="W37" s="6">
        <f t="shared" si="17"/>
        <v>2.26501492897436</v>
      </c>
      <c r="X37" s="6">
        <f t="shared" si="17"/>
        <v>1.33421377646404</v>
      </c>
      <c r="Y37" s="6">
        <f t="shared" si="17"/>
        <v>1.82994474809857</v>
      </c>
      <c r="Z37" s="6">
        <f t="shared" si="17"/>
        <v>1.49195261307836</v>
      </c>
      <c r="AA37" s="6">
        <f t="shared" si="17"/>
        <v>0.801785560568163</v>
      </c>
      <c r="AB37" s="6">
        <f t="shared" si="17"/>
        <v>1.22286354206838</v>
      </c>
      <c r="AC37" s="6">
        <f t="shared" si="17"/>
        <v>1.26771427144359</v>
      </c>
      <c r="AD37" s="6">
        <f t="shared" si="17"/>
        <v>0.942676073786121</v>
      </c>
    </row>
    <row r="38" spans="1:30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O38" s="1"/>
      <c r="P38" s="1"/>
      <c r="Q38" s="1"/>
    </row>
    <row r="39" spans="1:30">
      <c r="A39" t="s">
        <v>52</v>
      </c>
    </row>
    <row r="40" spans="1:30">
      <c r="B40">
        <v>4.24716915406125</v>
      </c>
      <c r="C40">
        <v>3.85797702548143</v>
      </c>
      <c r="D40">
        <v>3.06713014450294</v>
      </c>
      <c r="E40">
        <v>3.21022767665506</v>
      </c>
      <c r="F40">
        <v>2.87744470134966</v>
      </c>
      <c r="H40">
        <v>3.03289506252577</v>
      </c>
      <c r="J40">
        <v>1.10984949299044</v>
      </c>
      <c r="M40">
        <v>1.62404798698637</v>
      </c>
      <c r="N40">
        <v>1.36215944326466</v>
      </c>
      <c r="Q40">
        <v>2.1102920566065</v>
      </c>
      <c r="R40">
        <v>1.61533588611707</v>
      </c>
      <c r="S40">
        <v>1.70140876912437</v>
      </c>
      <c r="T40">
        <v>1.7757978942962</v>
      </c>
      <c r="U40">
        <v>1.29870401083375</v>
      </c>
      <c r="V40">
        <v>1.36982604458266</v>
      </c>
      <c r="X40">
        <v>1.68596245219812</v>
      </c>
      <c r="Y40">
        <v>1.35548677305562</v>
      </c>
      <c r="Z40">
        <v>1.3526372610091</v>
      </c>
      <c r="AB40">
        <v>0.847755157496735</v>
      </c>
      <c r="AC40">
        <v>0.951790320010202</v>
      </c>
      <c r="AD40">
        <v>0.80317613199283</v>
      </c>
    </row>
    <row r="41" spans="1:30">
      <c r="B41">
        <v>4.02100996478263</v>
      </c>
      <c r="C41">
        <v>3.32327467355337</v>
      </c>
      <c r="D41">
        <v>3.20123153847775</v>
      </c>
      <c r="F41">
        <v>3.29233467466533</v>
      </c>
      <c r="G41">
        <v>3.42745589290721</v>
      </c>
      <c r="H41">
        <v>2.82742114110806</v>
      </c>
      <c r="I41">
        <v>2.91401096408444</v>
      </c>
      <c r="K41">
        <v>2.63401704524419</v>
      </c>
      <c r="L41">
        <v>2.65070087285849</v>
      </c>
      <c r="N41">
        <v>1.36120400626349</v>
      </c>
      <c r="O41">
        <v>2.210297842221</v>
      </c>
      <c r="P41">
        <v>2.35104988710495</v>
      </c>
      <c r="Q41">
        <v>2.05477910910845</v>
      </c>
      <c r="R41">
        <v>1.93583388162905</v>
      </c>
      <c r="S41">
        <v>2.13561055535039</v>
      </c>
      <c r="T41">
        <v>1.75720912049306</v>
      </c>
      <c r="U41">
        <v>1.83403865846491</v>
      </c>
      <c r="W41">
        <v>2.6174388989058</v>
      </c>
      <c r="X41">
        <v>1.98256185999294</v>
      </c>
      <c r="Y41">
        <v>1.32353847622151</v>
      </c>
      <c r="Z41">
        <v>1.97700728628396</v>
      </c>
      <c r="AA41">
        <v>1.04121158231188</v>
      </c>
    </row>
    <row r="42" spans="1:30">
      <c r="B42">
        <v>3.59660265606868</v>
      </c>
      <c r="D42">
        <v>3.62955459737228</v>
      </c>
      <c r="E42">
        <v>3.44110750320997</v>
      </c>
      <c r="F42">
        <v>3.03289673653626</v>
      </c>
      <c r="G42">
        <v>3.54317778906318</v>
      </c>
      <c r="H42">
        <v>3.02227645149582</v>
      </c>
      <c r="I42">
        <v>2.71532026500401</v>
      </c>
      <c r="J42">
        <v>1.62328815293334</v>
      </c>
      <c r="K42">
        <v>2.38092623102655</v>
      </c>
      <c r="L42">
        <v>2.71659054918814</v>
      </c>
      <c r="M42">
        <v>1.33379099359331</v>
      </c>
      <c r="N42">
        <v>1.13266011284621</v>
      </c>
      <c r="O42">
        <v>2.65628437487458</v>
      </c>
      <c r="P42">
        <v>2.49375752402884</v>
      </c>
      <c r="Q42">
        <v>2.352700048574</v>
      </c>
      <c r="R42">
        <v>1.76833873628747</v>
      </c>
      <c r="S42">
        <v>1.92770236272946</v>
      </c>
      <c r="T42">
        <v>1.79332488840459</v>
      </c>
      <c r="U42">
        <v>1.1518915348949</v>
      </c>
      <c r="V42">
        <v>1.07762537589475</v>
      </c>
      <c r="W42">
        <v>2.15064489908279</v>
      </c>
      <c r="X42">
        <v>1.11687941302996</v>
      </c>
      <c r="Z42">
        <v>1.73515926512457</v>
      </c>
      <c r="AA42">
        <v>0.790320387190353</v>
      </c>
      <c r="AB42">
        <v>1.48387715427436</v>
      </c>
      <c r="AC42">
        <v>1.24517393900638</v>
      </c>
      <c r="AD42">
        <v>0.603260632675487</v>
      </c>
    </row>
    <row r="43" spans="1:30">
      <c r="C43">
        <v>3.30312960227619</v>
      </c>
      <c r="E43">
        <v>3.11374162961436</v>
      </c>
      <c r="G43">
        <v>3.34980238129088</v>
      </c>
      <c r="I43">
        <v>2.66125936983743</v>
      </c>
      <c r="J43">
        <v>1.34979297162669</v>
      </c>
      <c r="K43">
        <v>2.81225455141149</v>
      </c>
      <c r="L43">
        <v>2.54144253861754</v>
      </c>
      <c r="M43">
        <v>1.40683356287371</v>
      </c>
      <c r="O43">
        <v>2.46246625117995</v>
      </c>
      <c r="P43">
        <v>2.08673796019976</v>
      </c>
      <c r="V43">
        <v>1.10984920294183</v>
      </c>
      <c r="W43">
        <v>2.56652680737748</v>
      </c>
      <c r="Y43">
        <v>1.554197492619</v>
      </c>
      <c r="AA43">
        <v>0.84241915562225</v>
      </c>
      <c r="AB43">
        <v>0.772776581012909</v>
      </c>
      <c r="AC43">
        <v>1.01524485744644</v>
      </c>
      <c r="AD43">
        <v>0.785897413577605</v>
      </c>
    </row>
    <row r="44" spans="1:30">
      <c r="A44" t="s">
        <v>13</v>
      </c>
      <c r="B44">
        <f>(B40+B41+B42+B43)/3</f>
        <v>3.95492725830419</v>
      </c>
      <c r="C44">
        <f t="shared" ref="C44:AD44" si="18">(C40+C41+C42+C43)/3</f>
        <v>3.49479376710366</v>
      </c>
      <c r="D44">
        <f t="shared" si="18"/>
        <v>3.29930542678433</v>
      </c>
      <c r="E44">
        <f t="shared" si="18"/>
        <v>3.2550256031598</v>
      </c>
      <c r="F44">
        <f t="shared" si="18"/>
        <v>3.06755870418375</v>
      </c>
      <c r="G44">
        <f t="shared" si="18"/>
        <v>3.44014535442042</v>
      </c>
      <c r="H44">
        <f t="shared" si="18"/>
        <v>2.96086421837655</v>
      </c>
      <c r="I44">
        <f t="shared" si="18"/>
        <v>2.76353019964196</v>
      </c>
      <c r="J44">
        <f t="shared" si="18"/>
        <v>1.36097687251682</v>
      </c>
      <c r="K44">
        <f t="shared" si="18"/>
        <v>2.60906594256074</v>
      </c>
      <c r="L44">
        <f t="shared" si="18"/>
        <v>2.63624465355472</v>
      </c>
      <c r="M44">
        <f t="shared" si="18"/>
        <v>1.4548908478178</v>
      </c>
      <c r="N44">
        <f t="shared" si="18"/>
        <v>1.28534118745812</v>
      </c>
      <c r="O44">
        <f t="shared" si="18"/>
        <v>2.44301615609185</v>
      </c>
      <c r="P44">
        <f t="shared" si="18"/>
        <v>2.31051512377785</v>
      </c>
      <c r="Q44">
        <f t="shared" si="18"/>
        <v>2.17259040476299</v>
      </c>
      <c r="R44">
        <f t="shared" si="18"/>
        <v>1.77316950134453</v>
      </c>
      <c r="S44">
        <f t="shared" si="18"/>
        <v>1.92157389573474</v>
      </c>
      <c r="T44">
        <f t="shared" si="18"/>
        <v>1.77544396773128</v>
      </c>
      <c r="U44">
        <f t="shared" si="18"/>
        <v>1.42821140139785</v>
      </c>
      <c r="V44">
        <f t="shared" si="18"/>
        <v>1.18576687447308</v>
      </c>
      <c r="W44">
        <f t="shared" si="18"/>
        <v>2.44487020178869</v>
      </c>
      <c r="X44">
        <f t="shared" si="18"/>
        <v>1.59513457507367</v>
      </c>
      <c r="Y44">
        <f t="shared" si="18"/>
        <v>1.41107424729871</v>
      </c>
      <c r="Z44">
        <f t="shared" si="18"/>
        <v>1.68826793747255</v>
      </c>
      <c r="AA44">
        <f t="shared" si="18"/>
        <v>0.891317041708162</v>
      </c>
      <c r="AB44">
        <f t="shared" si="18"/>
        <v>1.03480296426133</v>
      </c>
      <c r="AC44">
        <f t="shared" si="18"/>
        <v>1.07073637215434</v>
      </c>
      <c r="AD44">
        <f t="shared" si="18"/>
        <v>0.730778059415307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3"/>
  <sheetViews>
    <sheetView tabSelected="1" zoomScale="75" zoomScaleNormal="75" topLeftCell="D1" workbookViewId="0">
      <selection activeCell="X45" sqref="X45"/>
    </sheetView>
  </sheetViews>
  <sheetFormatPr defaultColWidth="9" defaultRowHeight="13.5"/>
  <cols>
    <col min="2" max="30" width="12.6283185840708"/>
  </cols>
  <sheetData>
    <row r="1" spans="1:30">
      <c r="A1" t="s">
        <v>53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</row>
    <row r="2" spans="1:30">
      <c r="B2">
        <v>4.24716915406125</v>
      </c>
      <c r="C2">
        <v>3.85797702548143</v>
      </c>
      <c r="D2">
        <v>3.06713014450294</v>
      </c>
      <c r="E2">
        <v>3.21022767665506</v>
      </c>
      <c r="F2">
        <v>2.87744470134966</v>
      </c>
      <c r="G2">
        <v>3.34980238129088</v>
      </c>
      <c r="H2">
        <v>3.03289506252577</v>
      </c>
      <c r="I2">
        <v>2.66125936983743</v>
      </c>
      <c r="J2">
        <v>1.10984949299044</v>
      </c>
      <c r="K2">
        <v>2.81225455141149</v>
      </c>
      <c r="L2">
        <v>2.54144253861754</v>
      </c>
      <c r="M2">
        <v>1.62404798698637</v>
      </c>
      <c r="N2">
        <v>1.36215944326466</v>
      </c>
      <c r="O2">
        <v>2.46246625117995</v>
      </c>
      <c r="P2">
        <v>2.08673796019976</v>
      </c>
      <c r="Q2">
        <v>2.1102920566065</v>
      </c>
      <c r="R2">
        <v>1.61533588611707</v>
      </c>
      <c r="S2">
        <v>1.70140876912437</v>
      </c>
      <c r="T2">
        <v>1.7757978942962</v>
      </c>
      <c r="U2">
        <v>1.29870401083375</v>
      </c>
      <c r="V2">
        <v>1.36982604458266</v>
      </c>
      <c r="W2">
        <v>2.56652680737748</v>
      </c>
      <c r="X2">
        <v>1.68596245219812</v>
      </c>
      <c r="Y2">
        <v>1.35548677305562</v>
      </c>
      <c r="Z2">
        <v>1.3526372610091</v>
      </c>
      <c r="AA2">
        <v>0.84241915562225</v>
      </c>
      <c r="AB2">
        <v>0.847755157496735</v>
      </c>
      <c r="AC2">
        <v>0.951790320010202</v>
      </c>
      <c r="AD2">
        <v>0.80317613199283</v>
      </c>
    </row>
    <row r="3" spans="1:30">
      <c r="B3">
        <v>4.02100996478263</v>
      </c>
      <c r="C3">
        <v>3.32327467355337</v>
      </c>
      <c r="D3">
        <v>3.20123153847775</v>
      </c>
      <c r="E3">
        <v>3.11374162961436</v>
      </c>
      <c r="F3">
        <v>3.29233467466533</v>
      </c>
      <c r="G3">
        <v>3.42745589290721</v>
      </c>
      <c r="H3">
        <v>2.82742114110806</v>
      </c>
      <c r="I3">
        <v>2.91401096408444</v>
      </c>
      <c r="J3">
        <v>1.34979297162669</v>
      </c>
      <c r="K3">
        <v>2.63401704524419</v>
      </c>
      <c r="L3">
        <v>2.65070087285849</v>
      </c>
      <c r="M3">
        <v>1.40683356287371</v>
      </c>
      <c r="N3">
        <v>1.36120400626349</v>
      </c>
      <c r="O3">
        <v>2.210297842221</v>
      </c>
      <c r="P3">
        <v>2.35104988710495</v>
      </c>
      <c r="Q3">
        <v>2.05477910910845</v>
      </c>
      <c r="R3">
        <v>1.93583388162905</v>
      </c>
      <c r="S3">
        <v>2.13561055535039</v>
      </c>
      <c r="T3">
        <v>1.75720912049306</v>
      </c>
      <c r="U3">
        <v>1.83403865846491</v>
      </c>
      <c r="V3">
        <v>1.10984920294183</v>
      </c>
      <c r="W3">
        <v>2.6174388989058</v>
      </c>
      <c r="X3">
        <v>1.98256185999294</v>
      </c>
      <c r="Y3">
        <v>1.32353847622151</v>
      </c>
      <c r="Z3">
        <v>1.97700728628396</v>
      </c>
      <c r="AA3">
        <v>1.04121158231188</v>
      </c>
      <c r="AB3">
        <v>0.772776581012909</v>
      </c>
      <c r="AC3">
        <v>1.01524485744644</v>
      </c>
      <c r="AD3">
        <v>0.785897413577605</v>
      </c>
    </row>
    <row r="4" spans="1:30">
      <c r="B4">
        <v>3.59660265606868</v>
      </c>
      <c r="C4">
        <v>3.30312960227619</v>
      </c>
      <c r="D4">
        <v>3.62955459737228</v>
      </c>
      <c r="E4">
        <v>3.44110750320997</v>
      </c>
      <c r="F4">
        <v>3.03289673653626</v>
      </c>
      <c r="G4">
        <v>3.54317778906318</v>
      </c>
      <c r="H4">
        <v>3.02227645149582</v>
      </c>
      <c r="I4">
        <v>2.71532026500401</v>
      </c>
      <c r="J4">
        <v>1.62328815293334</v>
      </c>
      <c r="K4">
        <v>2.38092623102655</v>
      </c>
      <c r="L4">
        <v>2.71659054918814</v>
      </c>
      <c r="M4">
        <v>1.33379099359331</v>
      </c>
      <c r="N4">
        <v>1.13266011284621</v>
      </c>
      <c r="O4">
        <v>2.65628437487458</v>
      </c>
      <c r="P4">
        <v>2.49375752402884</v>
      </c>
      <c r="Q4">
        <v>2.352700048574</v>
      </c>
      <c r="R4">
        <v>1.76833873628747</v>
      </c>
      <c r="S4">
        <v>1.92770236272946</v>
      </c>
      <c r="T4">
        <v>1.79332488840459</v>
      </c>
      <c r="U4">
        <v>1.1518915348949</v>
      </c>
      <c r="V4">
        <v>1.07762537589475</v>
      </c>
      <c r="W4">
        <v>2.15064489908279</v>
      </c>
      <c r="X4">
        <v>1.11687941302996</v>
      </c>
      <c r="Y4">
        <v>1.554197492619</v>
      </c>
      <c r="Z4">
        <v>1.73515926512457</v>
      </c>
      <c r="AA4">
        <v>0.790320387190353</v>
      </c>
      <c r="AB4">
        <v>1.48387715427436</v>
      </c>
      <c r="AC4">
        <v>1.24517393900638</v>
      </c>
      <c r="AD4">
        <v>0.603260632675487</v>
      </c>
    </row>
    <row r="5" spans="1:30">
      <c r="A5" t="s">
        <v>13</v>
      </c>
      <c r="B5">
        <f>AVERAGE(B2:B4)</f>
        <v>3.95492725830419</v>
      </c>
      <c r="C5">
        <f t="shared" ref="C5:T5" si="0">AVERAGE(C2:C4)</f>
        <v>3.49479376710366</v>
      </c>
      <c r="D5">
        <f t="shared" si="0"/>
        <v>3.29930542678433</v>
      </c>
      <c r="E5">
        <f t="shared" si="0"/>
        <v>3.2550256031598</v>
      </c>
      <c r="F5">
        <f t="shared" si="0"/>
        <v>3.06755870418375</v>
      </c>
      <c r="G5">
        <f t="shared" si="0"/>
        <v>3.44014535442042</v>
      </c>
      <c r="H5">
        <f t="shared" si="0"/>
        <v>2.96086421837655</v>
      </c>
      <c r="I5">
        <f t="shared" si="0"/>
        <v>2.76353019964196</v>
      </c>
      <c r="J5">
        <f t="shared" si="0"/>
        <v>1.36097687251682</v>
      </c>
      <c r="K5">
        <f t="shared" si="0"/>
        <v>2.60906594256074</v>
      </c>
      <c r="L5">
        <f t="shared" si="0"/>
        <v>2.63624465355472</v>
      </c>
      <c r="M5">
        <f t="shared" si="0"/>
        <v>1.4548908478178</v>
      </c>
      <c r="N5">
        <f t="shared" si="0"/>
        <v>1.28534118745812</v>
      </c>
      <c r="O5">
        <f t="shared" si="0"/>
        <v>2.44301615609185</v>
      </c>
      <c r="P5">
        <f t="shared" si="0"/>
        <v>2.31051512377785</v>
      </c>
      <c r="Q5">
        <f t="shared" si="0"/>
        <v>2.17259040476299</v>
      </c>
      <c r="R5">
        <f t="shared" si="0"/>
        <v>1.77316950134453</v>
      </c>
      <c r="S5">
        <f t="shared" si="0"/>
        <v>1.92157389573474</v>
      </c>
      <c r="T5">
        <f t="shared" si="0"/>
        <v>1.77544396773128</v>
      </c>
      <c r="U5">
        <f t="shared" ref="U5:AD5" si="1">AVERAGE(U2:U4)</f>
        <v>1.42821140139785</v>
      </c>
      <c r="V5">
        <f t="shared" si="1"/>
        <v>1.18576687447308</v>
      </c>
      <c r="W5">
        <f t="shared" si="1"/>
        <v>2.44487020178869</v>
      </c>
      <c r="X5">
        <f t="shared" si="1"/>
        <v>1.59513457507367</v>
      </c>
      <c r="Y5">
        <f t="shared" si="1"/>
        <v>1.41107424729871</v>
      </c>
      <c r="Z5">
        <f t="shared" si="1"/>
        <v>1.68826793747255</v>
      </c>
      <c r="AA5">
        <f t="shared" si="1"/>
        <v>0.891317041708162</v>
      </c>
      <c r="AB5">
        <f t="shared" si="1"/>
        <v>1.03480296426134</v>
      </c>
      <c r="AC5">
        <f t="shared" si="1"/>
        <v>1.07073637215434</v>
      </c>
      <c r="AD5">
        <f t="shared" si="1"/>
        <v>0.730778059415307</v>
      </c>
    </row>
    <row r="6" spans="1:30">
      <c r="A6" t="s">
        <v>54</v>
      </c>
      <c r="B6">
        <f>_xlfn.STDEV.P(B2:B4)</f>
        <v>0.269671881056983</v>
      </c>
      <c r="C6">
        <f t="shared" ref="C6:AD6" si="2">_xlfn.STDEV.P(C2:C4)</f>
        <v>0.256940998867586</v>
      </c>
      <c r="D6">
        <f t="shared" si="2"/>
        <v>0.239852985489058</v>
      </c>
      <c r="E6">
        <f t="shared" si="2"/>
        <v>0.137349297930732</v>
      </c>
      <c r="F6">
        <f t="shared" si="2"/>
        <v>0.171142263415297</v>
      </c>
      <c r="G6">
        <f t="shared" si="2"/>
        <v>0.0794534618834495</v>
      </c>
      <c r="H6">
        <f t="shared" si="2"/>
        <v>0.0944580325796058</v>
      </c>
      <c r="I6">
        <f t="shared" si="2"/>
        <v>0.108670727266511</v>
      </c>
      <c r="J6">
        <f t="shared" si="2"/>
        <v>0.209759583190424</v>
      </c>
      <c r="K6">
        <f t="shared" si="2"/>
        <v>0.17697070969582</v>
      </c>
      <c r="L6">
        <f t="shared" si="2"/>
        <v>0.072230848022752</v>
      </c>
      <c r="M6">
        <f t="shared" si="2"/>
        <v>0.123273158826354</v>
      </c>
      <c r="N6">
        <f t="shared" si="2"/>
        <v>0.107962527830882</v>
      </c>
      <c r="O6">
        <f t="shared" si="2"/>
        <v>0.182591943006427</v>
      </c>
      <c r="P6">
        <f t="shared" si="2"/>
        <v>0.168618962186721</v>
      </c>
      <c r="Q6">
        <f t="shared" si="2"/>
        <v>0.12935747544506</v>
      </c>
      <c r="R6">
        <f t="shared" si="2"/>
        <v>0.130887339596757</v>
      </c>
      <c r="S6">
        <f t="shared" si="2"/>
        <v>0.177315098757822</v>
      </c>
      <c r="T6">
        <f t="shared" si="2"/>
        <v>0.0147463243096912</v>
      </c>
      <c r="U6">
        <f t="shared" si="2"/>
        <v>0.293155587480723</v>
      </c>
      <c r="V6">
        <f t="shared" si="2"/>
        <v>0.130812658239333</v>
      </c>
      <c r="W6">
        <f t="shared" si="2"/>
        <v>0.209084363882509</v>
      </c>
      <c r="X6">
        <f t="shared" si="2"/>
        <v>0.35920170952837</v>
      </c>
      <c r="Y6">
        <f t="shared" si="2"/>
        <v>0.102040419870136</v>
      </c>
      <c r="Z6">
        <f t="shared" si="2"/>
        <v>0.257045494769779</v>
      </c>
      <c r="AA6">
        <f t="shared" si="2"/>
        <v>0.108104426043003</v>
      </c>
      <c r="AB6">
        <f t="shared" si="2"/>
        <v>0.319015326522908</v>
      </c>
      <c r="AC6">
        <f t="shared" si="2"/>
        <v>0.126036947300536</v>
      </c>
      <c r="AD6">
        <f t="shared" si="2"/>
        <v>0.0904439388766223</v>
      </c>
    </row>
    <row r="8" spans="1:30">
      <c r="A8" t="s">
        <v>55</v>
      </c>
    </row>
    <row r="9" spans="1:30">
      <c r="A9" t="s">
        <v>13</v>
      </c>
      <c r="B9">
        <v>3.95492725830419</v>
      </c>
      <c r="C9">
        <v>3.49479376710366</v>
      </c>
      <c r="D9">
        <v>3.29930542678433</v>
      </c>
      <c r="E9">
        <v>3.2550256031598</v>
      </c>
      <c r="F9">
        <v>3.06755870418375</v>
      </c>
      <c r="G9">
        <v>3.44014535442042</v>
      </c>
      <c r="H9">
        <v>2.96086421837655</v>
      </c>
      <c r="I9">
        <v>2.76353019964196</v>
      </c>
      <c r="J9">
        <v>1.36097687251682</v>
      </c>
      <c r="K9">
        <v>2.60906594256074</v>
      </c>
      <c r="L9">
        <v>2.63624465355472</v>
      </c>
      <c r="M9">
        <v>1.4548908478178</v>
      </c>
      <c r="N9">
        <v>1.28534118745812</v>
      </c>
      <c r="O9">
        <v>2.44301615609185</v>
      </c>
      <c r="P9">
        <v>2.31051512377785</v>
      </c>
      <c r="Q9">
        <v>2.17259040476299</v>
      </c>
      <c r="R9">
        <v>1.77316950134453</v>
      </c>
      <c r="S9">
        <v>1.92157389573474</v>
      </c>
      <c r="T9">
        <v>1.77544396773128</v>
      </c>
      <c r="U9">
        <v>1.42821140139785</v>
      </c>
      <c r="V9">
        <v>1.18576687447308</v>
      </c>
      <c r="W9">
        <v>2.44487020178869</v>
      </c>
      <c r="X9">
        <v>1.59513457507367</v>
      </c>
      <c r="Y9">
        <v>1.41107424729871</v>
      </c>
      <c r="Z9">
        <v>1.68826793747255</v>
      </c>
      <c r="AA9">
        <v>0.891317041708162</v>
      </c>
      <c r="AB9">
        <v>1.03480296426134</v>
      </c>
      <c r="AC9">
        <v>1.07073637215434</v>
      </c>
      <c r="AD9">
        <v>0.730778059415307</v>
      </c>
    </row>
    <row r="10" spans="1:30">
      <c r="A10" t="s">
        <v>54</v>
      </c>
      <c r="B10">
        <v>0.269671881056983</v>
      </c>
      <c r="C10">
        <v>0.256940998867586</v>
      </c>
      <c r="D10">
        <v>0.239852985489058</v>
      </c>
      <c r="E10">
        <v>0.137349297930732</v>
      </c>
      <c r="F10">
        <v>0.171142263415297</v>
      </c>
      <c r="G10">
        <v>0.0794534618834495</v>
      </c>
      <c r="H10">
        <v>0.0944580325796058</v>
      </c>
      <c r="I10">
        <v>0.108670727266511</v>
      </c>
      <c r="J10">
        <v>0.209759583190424</v>
      </c>
      <c r="K10">
        <v>0.17697070969582</v>
      </c>
      <c r="L10">
        <v>0.072230848022752</v>
      </c>
      <c r="M10">
        <v>0.123273158826354</v>
      </c>
      <c r="N10">
        <v>0.107962527830882</v>
      </c>
      <c r="O10">
        <v>0.182591943006427</v>
      </c>
      <c r="P10">
        <v>0.168618962186721</v>
      </c>
      <c r="Q10">
        <v>0.12935747544506</v>
      </c>
      <c r="R10">
        <v>0.130887339596757</v>
      </c>
      <c r="S10">
        <v>0.177315098757822</v>
      </c>
      <c r="T10">
        <v>0.0147463243096912</v>
      </c>
      <c r="U10">
        <v>0.293155587480723</v>
      </c>
      <c r="V10">
        <v>0.130812658239333</v>
      </c>
      <c r="W10">
        <v>0.209084363882509</v>
      </c>
      <c r="X10">
        <v>0.35920170952837</v>
      </c>
      <c r="Y10">
        <v>0.102040419870136</v>
      </c>
      <c r="Z10">
        <v>0.257045494769779</v>
      </c>
      <c r="AA10">
        <v>0.108104426043003</v>
      </c>
      <c r="AB10">
        <v>0.319015326522908</v>
      </c>
      <c r="AC10">
        <v>0.126036947300536</v>
      </c>
      <c r="AD10">
        <v>0.0904439388766223</v>
      </c>
    </row>
    <row r="12" spans="1:30">
      <c r="A12" t="s">
        <v>56</v>
      </c>
    </row>
    <row r="13" spans="1:30">
      <c r="B13" s="3"/>
      <c r="C13" s="3" t="s">
        <v>57</v>
      </c>
      <c r="D13" s="3" t="s">
        <v>58</v>
      </c>
      <c r="E13" s="3" t="s">
        <v>59</v>
      </c>
      <c r="F13" s="3" t="s">
        <v>60</v>
      </c>
      <c r="G13" s="3" t="s">
        <v>58</v>
      </c>
      <c r="H13" s="3" t="s">
        <v>59</v>
      </c>
    </row>
    <row r="14" spans="1:30">
      <c r="B14" s="3" t="s">
        <v>18</v>
      </c>
      <c r="C14">
        <v>3.95492725830419</v>
      </c>
      <c r="D14">
        <v>0.269671881056983</v>
      </c>
      <c r="E14" s="3" t="s">
        <v>61</v>
      </c>
      <c r="F14" s="3"/>
      <c r="G14" s="3"/>
      <c r="H14" s="3"/>
    </row>
    <row r="15" spans="1:30">
      <c r="B15" s="1" t="s">
        <v>19</v>
      </c>
      <c r="C15">
        <v>3.49479376710366</v>
      </c>
      <c r="D15">
        <v>0.256940998867586</v>
      </c>
      <c r="E15" s="3" t="s">
        <v>62</v>
      </c>
      <c r="F15" s="3"/>
      <c r="G15" s="3"/>
      <c r="H15" s="3"/>
    </row>
    <row r="16" spans="1:30">
      <c r="B16" s="1" t="s">
        <v>20</v>
      </c>
      <c r="C16">
        <v>3.29930542678433</v>
      </c>
      <c r="D16">
        <v>0.239852985489058</v>
      </c>
      <c r="E16" s="3" t="s">
        <v>63</v>
      </c>
      <c r="F16" s="3"/>
      <c r="G16" s="3"/>
      <c r="H16" s="3"/>
    </row>
    <row r="17" spans="2:8">
      <c r="B17" s="1" t="s">
        <v>21</v>
      </c>
      <c r="C17">
        <v>3.2550256031598</v>
      </c>
      <c r="D17">
        <v>0.137349297930732</v>
      </c>
      <c r="E17" s="3" t="s">
        <v>63</v>
      </c>
      <c r="F17" s="3"/>
      <c r="G17" s="3"/>
      <c r="H17" s="3"/>
    </row>
    <row r="18" spans="2:8">
      <c r="B18" s="1" t="s">
        <v>22</v>
      </c>
      <c r="C18">
        <v>3.06755870418375</v>
      </c>
      <c r="D18">
        <v>0.171142263415297</v>
      </c>
      <c r="E18" s="3" t="s">
        <v>64</v>
      </c>
      <c r="F18" s="3"/>
      <c r="G18" s="3"/>
      <c r="H18" s="3"/>
    </row>
    <row r="19" spans="2:8">
      <c r="B19" s="3" t="s">
        <v>65</v>
      </c>
      <c r="C19">
        <v>3.44014535442042</v>
      </c>
      <c r="D19">
        <v>0.0794534618834495</v>
      </c>
      <c r="E19" s="3" t="s">
        <v>62</v>
      </c>
      <c r="F19">
        <v>2.60906594256074</v>
      </c>
      <c r="G19">
        <v>0.17697070969582</v>
      </c>
      <c r="H19" s="3" t="s">
        <v>61</v>
      </c>
    </row>
    <row r="20" spans="2:8">
      <c r="B20" s="3" t="s">
        <v>66</v>
      </c>
      <c r="C20">
        <v>2.96086421837655</v>
      </c>
      <c r="D20">
        <v>0.0944580325796058</v>
      </c>
      <c r="E20" s="3" t="s">
        <v>67</v>
      </c>
      <c r="F20">
        <v>2.63624465355472</v>
      </c>
      <c r="G20">
        <v>0.072230848022752</v>
      </c>
      <c r="H20" s="3" t="s">
        <v>61</v>
      </c>
    </row>
    <row r="21" spans="2:8">
      <c r="B21" s="3" t="s">
        <v>68</v>
      </c>
      <c r="C21">
        <v>2.76353019964196</v>
      </c>
      <c r="D21">
        <v>0.108670727266511</v>
      </c>
      <c r="E21" s="3" t="s">
        <v>69</v>
      </c>
      <c r="F21">
        <v>1.4548908478178</v>
      </c>
      <c r="G21">
        <v>0.123273158826354</v>
      </c>
      <c r="H21" s="3" t="s">
        <v>67</v>
      </c>
    </row>
    <row r="22" spans="2:8">
      <c r="B22" s="3" t="s">
        <v>70</v>
      </c>
      <c r="C22">
        <v>1.36097687251682</v>
      </c>
      <c r="D22">
        <v>0.209759583190424</v>
      </c>
      <c r="E22" s="3" t="s">
        <v>71</v>
      </c>
      <c r="F22">
        <v>1.28534118745812</v>
      </c>
      <c r="G22">
        <v>0.107962527830882</v>
      </c>
      <c r="H22" s="3" t="s">
        <v>72</v>
      </c>
    </row>
    <row r="23" spans="2:8">
      <c r="B23" s="3" t="s">
        <v>73</v>
      </c>
      <c r="C23">
        <v>2.44301615609185</v>
      </c>
      <c r="D23">
        <v>0.182591943006427</v>
      </c>
      <c r="E23" t="s">
        <v>74</v>
      </c>
      <c r="F23">
        <v>1.92157389573474</v>
      </c>
      <c r="G23">
        <v>0.177315098757822</v>
      </c>
      <c r="H23" t="s">
        <v>62</v>
      </c>
    </row>
    <row r="24" spans="2:8">
      <c r="B24" s="3" t="s">
        <v>75</v>
      </c>
      <c r="C24">
        <v>2.31051512377785</v>
      </c>
      <c r="D24">
        <v>0.168618962186721</v>
      </c>
      <c r="E24" t="s">
        <v>76</v>
      </c>
      <c r="F24">
        <v>1.77544396773128</v>
      </c>
      <c r="G24">
        <v>0.0147463243096912</v>
      </c>
      <c r="H24" t="s">
        <v>63</v>
      </c>
    </row>
    <row r="25" spans="2:8">
      <c r="B25" s="3" t="s">
        <v>77</v>
      </c>
      <c r="C25">
        <v>2.17259040476299</v>
      </c>
      <c r="D25">
        <v>0.12935747544506</v>
      </c>
      <c r="E25" t="s">
        <v>78</v>
      </c>
      <c r="F25">
        <v>1.42821140139785</v>
      </c>
      <c r="G25">
        <v>0.293155587480723</v>
      </c>
      <c r="H25" t="s">
        <v>79</v>
      </c>
    </row>
    <row r="26" spans="2:8">
      <c r="B26" s="3" t="s">
        <v>80</v>
      </c>
      <c r="C26">
        <v>1.77316950134453</v>
      </c>
      <c r="D26">
        <v>0.130887339596757</v>
      </c>
      <c r="E26" t="s">
        <v>81</v>
      </c>
      <c r="F26">
        <v>1.18576687447308</v>
      </c>
      <c r="G26">
        <v>0.130812658239333</v>
      </c>
      <c r="H26" t="s">
        <v>82</v>
      </c>
    </row>
    <row r="27" spans="2:8">
      <c r="B27" s="3" t="s">
        <v>83</v>
      </c>
      <c r="C27">
        <v>2.44487020178869</v>
      </c>
      <c r="D27">
        <v>0.209084363882509</v>
      </c>
      <c r="E27" t="s">
        <v>74</v>
      </c>
      <c r="F27">
        <v>0.891317041708162</v>
      </c>
      <c r="G27">
        <v>0.108104426043003</v>
      </c>
      <c r="H27" t="s">
        <v>81</v>
      </c>
    </row>
    <row r="28" spans="2:8">
      <c r="B28" s="3" t="s">
        <v>84</v>
      </c>
      <c r="C28">
        <v>1.59513457507367</v>
      </c>
      <c r="D28">
        <v>0.35920170952837</v>
      </c>
      <c r="E28" t="s">
        <v>71</v>
      </c>
      <c r="F28">
        <v>1.03480296426134</v>
      </c>
      <c r="G28">
        <v>0.319015326522908</v>
      </c>
      <c r="H28" t="s">
        <v>85</v>
      </c>
    </row>
    <row r="29" spans="2:8">
      <c r="B29" s="3" t="s">
        <v>86</v>
      </c>
      <c r="C29">
        <v>1.41107424729871</v>
      </c>
      <c r="D29">
        <v>0.102040419870136</v>
      </c>
      <c r="E29" t="s">
        <v>71</v>
      </c>
      <c r="F29">
        <v>1.07073637215434</v>
      </c>
      <c r="G29">
        <v>0.126036947300536</v>
      </c>
      <c r="H29" t="s">
        <v>87</v>
      </c>
    </row>
    <row r="30" spans="2:8">
      <c r="B30" s="3" t="s">
        <v>88</v>
      </c>
      <c r="C30">
        <v>1.68826793747255</v>
      </c>
      <c r="D30">
        <v>0.257045494769779</v>
      </c>
      <c r="E30" t="s">
        <v>71</v>
      </c>
      <c r="F30">
        <v>0.730778059415307</v>
      </c>
      <c r="G30">
        <v>0.0904439388766223</v>
      </c>
      <c r="H30" t="s">
        <v>71</v>
      </c>
    </row>
    <row r="31" spans="2:8">
      <c r="B31" s="3"/>
    </row>
    <row r="32" spans="2:8">
      <c r="B32" s="3"/>
    </row>
    <row r="33" spans="3:12">
      <c r="C33" s="1"/>
      <c r="D33" s="1"/>
      <c r="E33" s="1"/>
      <c r="F33" s="1"/>
      <c r="G33" s="1"/>
      <c r="H33" s="1"/>
      <c r="I33" s="1"/>
      <c r="J33" s="1"/>
      <c r="K33" s="1"/>
      <c r="L33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标曲</vt:lpstr>
      <vt:lpstr>数据处理</vt:lpstr>
      <vt:lpstr>数据整理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28717</dc:creator>
  <cp:lastModifiedBy>W.Y.</cp:lastModifiedBy>
  <dcterms:created xsi:type="dcterms:W3CDTF">2026-01-21T08:46:00Z</dcterms:created>
  <dcterms:modified xsi:type="dcterms:W3CDTF">2026-01-23T07:29:42Z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BE29356C500A460F92CEB888368CE8D7_13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