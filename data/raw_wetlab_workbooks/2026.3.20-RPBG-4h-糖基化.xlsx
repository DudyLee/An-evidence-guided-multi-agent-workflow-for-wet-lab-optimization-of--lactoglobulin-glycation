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C:\NewDisk\Research\AI Food agent\糖基化结果\"/>
    </mc:Choice>
  </mc:AlternateContent>
  <xr:revisionPtr revIDLastSave="0" documentId="13_ncr:1_{FEE1CFE8-29D8-4342-BDE7-C47E02A50A8B}" xr6:coauthVersionLast="47" xr6:coauthVersionMax="47" xr10:uidLastSave="{00000000-0000-0000-0000-000000000000}"/>
  <bookViews>
    <workbookView xWindow="0" yWindow="360" windowWidth="30936" windowHeight="16776" activeTab="3" xr2:uid="{00000000-000D-0000-FFFF-FFFF00000000}"/>
  </bookViews>
  <sheets>
    <sheet name="原始数据" sheetId="1" r:id="rId1"/>
    <sheet name="标曲" sheetId="2" r:id="rId2"/>
    <sheet name="数据处理" sheetId="3" r:id="rId3"/>
    <sheet name="挑选" sheetId="4" r:id="rId4"/>
  </sheets>
  <externalReferences>
    <externalReference r:id="rId5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60" i="3" l="1"/>
  <c r="M60" i="3"/>
  <c r="L60" i="3"/>
  <c r="K60" i="3"/>
  <c r="J60" i="3"/>
  <c r="I60" i="3"/>
  <c r="H60" i="3"/>
  <c r="G60" i="3"/>
  <c r="F60" i="3"/>
  <c r="E60" i="3"/>
  <c r="D60" i="3"/>
  <c r="C60" i="3"/>
  <c r="B60" i="3"/>
  <c r="N59" i="3"/>
  <c r="M59" i="3"/>
  <c r="L59" i="3"/>
  <c r="K59" i="3"/>
  <c r="J59" i="3"/>
  <c r="I59" i="3"/>
  <c r="H59" i="3"/>
  <c r="G59" i="3"/>
  <c r="F59" i="3"/>
  <c r="E59" i="3"/>
  <c r="D59" i="3"/>
  <c r="C59" i="3"/>
  <c r="B59" i="3"/>
  <c r="N58" i="3"/>
  <c r="M58" i="3"/>
  <c r="L58" i="3"/>
  <c r="K58" i="3"/>
  <c r="J58" i="3"/>
  <c r="I58" i="3"/>
  <c r="H58" i="3"/>
  <c r="G58" i="3"/>
  <c r="F58" i="3"/>
  <c r="E58" i="3"/>
  <c r="D58" i="3"/>
  <c r="C58" i="3"/>
  <c r="B58" i="3"/>
  <c r="N57" i="3"/>
  <c r="M57" i="3"/>
  <c r="L57" i="3"/>
  <c r="K57" i="3"/>
  <c r="J57" i="3"/>
  <c r="I57" i="3"/>
  <c r="H57" i="3"/>
  <c r="G57" i="3"/>
  <c r="F57" i="3"/>
  <c r="E57" i="3"/>
  <c r="D57" i="3"/>
  <c r="C57" i="3"/>
  <c r="B57" i="3"/>
  <c r="N56" i="3"/>
  <c r="M56" i="3"/>
  <c r="L56" i="3"/>
  <c r="K56" i="3"/>
  <c r="J56" i="3"/>
  <c r="I56" i="3"/>
  <c r="H56" i="3"/>
  <c r="G56" i="3"/>
  <c r="F56" i="3"/>
  <c r="E56" i="3"/>
  <c r="D56" i="3"/>
  <c r="C56" i="3"/>
  <c r="B56" i="3"/>
  <c r="N55" i="3"/>
  <c r="M55" i="3"/>
  <c r="L55" i="3"/>
  <c r="K55" i="3"/>
  <c r="J55" i="3"/>
  <c r="I55" i="3"/>
  <c r="H55" i="3"/>
  <c r="G55" i="3"/>
  <c r="F55" i="3"/>
  <c r="E55" i="3"/>
  <c r="D55" i="3"/>
  <c r="C55" i="3"/>
  <c r="B55" i="3"/>
  <c r="N54" i="3"/>
  <c r="M54" i="3"/>
  <c r="L54" i="3"/>
  <c r="K54" i="3"/>
  <c r="J54" i="3"/>
  <c r="I54" i="3"/>
  <c r="H54" i="3"/>
  <c r="G54" i="3"/>
  <c r="F54" i="3"/>
  <c r="E54" i="3"/>
  <c r="D54" i="3"/>
  <c r="C54" i="3"/>
  <c r="B54" i="3"/>
  <c r="N53" i="3"/>
  <c r="M53" i="3"/>
  <c r="L53" i="3"/>
  <c r="K53" i="3"/>
  <c r="J53" i="3"/>
  <c r="I53" i="3"/>
  <c r="H53" i="3"/>
  <c r="G53" i="3"/>
  <c r="F53" i="3"/>
  <c r="E53" i="3"/>
  <c r="D53" i="3"/>
  <c r="C53" i="3"/>
  <c r="B53" i="3"/>
  <c r="N50" i="3"/>
  <c r="M50" i="3"/>
  <c r="L50" i="3"/>
  <c r="K50" i="3"/>
  <c r="J50" i="3"/>
  <c r="I50" i="3"/>
  <c r="H50" i="3"/>
  <c r="G50" i="3"/>
  <c r="F50" i="3"/>
  <c r="E50" i="3"/>
  <c r="D50" i="3"/>
  <c r="C50" i="3"/>
  <c r="B50" i="3"/>
  <c r="N49" i="3"/>
  <c r="M49" i="3"/>
  <c r="L49" i="3"/>
  <c r="K49" i="3"/>
  <c r="J49" i="3"/>
  <c r="I49" i="3"/>
  <c r="H49" i="3"/>
  <c r="G49" i="3"/>
  <c r="F49" i="3"/>
  <c r="E49" i="3"/>
  <c r="D49" i="3"/>
  <c r="C49" i="3"/>
  <c r="B49" i="3"/>
  <c r="N48" i="3"/>
  <c r="M48" i="3"/>
  <c r="L48" i="3"/>
  <c r="K48" i="3"/>
  <c r="J48" i="3"/>
  <c r="I48" i="3"/>
  <c r="H48" i="3"/>
  <c r="G48" i="3"/>
  <c r="F48" i="3"/>
  <c r="E48" i="3"/>
  <c r="D48" i="3"/>
  <c r="C48" i="3"/>
  <c r="B48" i="3"/>
  <c r="N47" i="3"/>
  <c r="M47" i="3"/>
  <c r="L47" i="3"/>
  <c r="K47" i="3"/>
  <c r="J47" i="3"/>
  <c r="I47" i="3"/>
  <c r="H47" i="3"/>
  <c r="G47" i="3"/>
  <c r="F47" i="3"/>
  <c r="E47" i="3"/>
  <c r="D47" i="3"/>
  <c r="C47" i="3"/>
  <c r="B47" i="3"/>
  <c r="N46" i="3"/>
  <c r="M46" i="3"/>
  <c r="L46" i="3"/>
  <c r="K46" i="3"/>
  <c r="J46" i="3"/>
  <c r="I46" i="3"/>
  <c r="H46" i="3"/>
  <c r="G46" i="3"/>
  <c r="F46" i="3"/>
  <c r="E46" i="3"/>
  <c r="D46" i="3"/>
  <c r="C46" i="3"/>
  <c r="B46" i="3"/>
  <c r="N45" i="3"/>
  <c r="M45" i="3"/>
  <c r="L45" i="3"/>
  <c r="K45" i="3"/>
  <c r="J45" i="3"/>
  <c r="I45" i="3"/>
  <c r="H45" i="3"/>
  <c r="G45" i="3"/>
  <c r="F45" i="3"/>
  <c r="E45" i="3"/>
  <c r="D45" i="3"/>
  <c r="C45" i="3"/>
  <c r="B45" i="3"/>
  <c r="N44" i="3"/>
  <c r="M44" i="3"/>
  <c r="L44" i="3"/>
  <c r="K44" i="3"/>
  <c r="J44" i="3"/>
  <c r="I44" i="3"/>
  <c r="H44" i="3"/>
  <c r="G44" i="3"/>
  <c r="F44" i="3"/>
  <c r="E44" i="3"/>
  <c r="D44" i="3"/>
  <c r="C44" i="3"/>
  <c r="B44" i="3"/>
  <c r="N43" i="3"/>
  <c r="M43" i="3"/>
  <c r="L43" i="3"/>
  <c r="K43" i="3"/>
  <c r="J43" i="3"/>
  <c r="I43" i="3"/>
  <c r="H43" i="3"/>
  <c r="G43" i="3"/>
  <c r="F43" i="3"/>
  <c r="E43" i="3"/>
  <c r="D43" i="3"/>
  <c r="C43" i="3"/>
  <c r="B43" i="3"/>
  <c r="N40" i="3"/>
  <c r="M40" i="3"/>
  <c r="L40" i="3"/>
  <c r="K40" i="3"/>
  <c r="J40" i="3"/>
  <c r="I40" i="3"/>
  <c r="H40" i="3"/>
  <c r="G40" i="3"/>
  <c r="F40" i="3"/>
  <c r="E40" i="3"/>
  <c r="D40" i="3"/>
  <c r="C40" i="3"/>
  <c r="B40" i="3"/>
  <c r="N39" i="3"/>
  <c r="M39" i="3"/>
  <c r="L39" i="3"/>
  <c r="K39" i="3"/>
  <c r="J39" i="3"/>
  <c r="I39" i="3"/>
  <c r="H39" i="3"/>
  <c r="G39" i="3"/>
  <c r="F39" i="3"/>
  <c r="E39" i="3"/>
  <c r="D39" i="3"/>
  <c r="C39" i="3"/>
  <c r="B39" i="3"/>
  <c r="N38" i="3"/>
  <c r="M38" i="3"/>
  <c r="L38" i="3"/>
  <c r="K38" i="3"/>
  <c r="J38" i="3"/>
  <c r="I38" i="3"/>
  <c r="H38" i="3"/>
  <c r="G38" i="3"/>
  <c r="F38" i="3"/>
  <c r="E38" i="3"/>
  <c r="D38" i="3"/>
  <c r="C38" i="3"/>
  <c r="B38" i="3"/>
  <c r="N37" i="3"/>
  <c r="M37" i="3"/>
  <c r="L37" i="3"/>
  <c r="K37" i="3"/>
  <c r="J37" i="3"/>
  <c r="I37" i="3"/>
  <c r="H37" i="3"/>
  <c r="G37" i="3"/>
  <c r="F37" i="3"/>
  <c r="E37" i="3"/>
  <c r="D37" i="3"/>
  <c r="C37" i="3"/>
  <c r="B37" i="3"/>
  <c r="N36" i="3"/>
  <c r="M36" i="3"/>
  <c r="L36" i="3"/>
  <c r="K36" i="3"/>
  <c r="J36" i="3"/>
  <c r="I36" i="3"/>
  <c r="H36" i="3"/>
  <c r="G36" i="3"/>
  <c r="F36" i="3"/>
  <c r="E36" i="3"/>
  <c r="D36" i="3"/>
  <c r="C36" i="3"/>
  <c r="B36" i="3"/>
  <c r="N35" i="3"/>
  <c r="M35" i="3"/>
  <c r="L35" i="3"/>
  <c r="K35" i="3"/>
  <c r="J35" i="3"/>
  <c r="I35" i="3"/>
  <c r="H35" i="3"/>
  <c r="G35" i="3"/>
  <c r="F35" i="3"/>
  <c r="E35" i="3"/>
  <c r="D35" i="3"/>
  <c r="C35" i="3"/>
  <c r="B35" i="3"/>
  <c r="N34" i="3"/>
  <c r="M34" i="3"/>
  <c r="L34" i="3"/>
  <c r="K34" i="3"/>
  <c r="J34" i="3"/>
  <c r="I34" i="3"/>
  <c r="H34" i="3"/>
  <c r="G34" i="3"/>
  <c r="F34" i="3"/>
  <c r="E34" i="3"/>
  <c r="D34" i="3"/>
  <c r="C34" i="3"/>
  <c r="B34" i="3"/>
  <c r="N33" i="3"/>
  <c r="M33" i="3"/>
  <c r="L33" i="3"/>
  <c r="K33" i="3"/>
  <c r="J33" i="3"/>
  <c r="I33" i="3"/>
  <c r="H33" i="3"/>
  <c r="G33" i="3"/>
  <c r="F33" i="3"/>
  <c r="E33" i="3"/>
  <c r="D33" i="3"/>
  <c r="C33" i="3"/>
  <c r="B33" i="3"/>
  <c r="N30" i="3"/>
  <c r="M30" i="3"/>
  <c r="L30" i="3"/>
  <c r="K30" i="3"/>
  <c r="J30" i="3"/>
  <c r="I30" i="3"/>
  <c r="H30" i="3"/>
  <c r="G30" i="3"/>
  <c r="F30" i="3"/>
  <c r="E30" i="3"/>
  <c r="D30" i="3"/>
  <c r="C30" i="3"/>
  <c r="B30" i="3"/>
  <c r="N29" i="3"/>
  <c r="M29" i="3"/>
  <c r="L29" i="3"/>
  <c r="K29" i="3"/>
  <c r="J29" i="3"/>
  <c r="I29" i="3"/>
  <c r="H29" i="3"/>
  <c r="G29" i="3"/>
  <c r="F29" i="3"/>
  <c r="E29" i="3"/>
  <c r="D29" i="3"/>
  <c r="C29" i="3"/>
  <c r="B29" i="3"/>
  <c r="N28" i="3"/>
  <c r="M28" i="3"/>
  <c r="L28" i="3"/>
  <c r="K28" i="3"/>
  <c r="J28" i="3"/>
  <c r="I28" i="3"/>
  <c r="H28" i="3"/>
  <c r="G28" i="3"/>
  <c r="F28" i="3"/>
  <c r="E28" i="3"/>
  <c r="D28" i="3"/>
  <c r="C28" i="3"/>
  <c r="B28" i="3"/>
  <c r="N27" i="3"/>
  <c r="M27" i="3"/>
  <c r="L27" i="3"/>
  <c r="K27" i="3"/>
  <c r="J27" i="3"/>
  <c r="I27" i="3"/>
  <c r="H27" i="3"/>
  <c r="G27" i="3"/>
  <c r="F27" i="3"/>
  <c r="E27" i="3"/>
  <c r="D27" i="3"/>
  <c r="C27" i="3"/>
  <c r="B27" i="3"/>
  <c r="N26" i="3"/>
  <c r="M26" i="3"/>
  <c r="L26" i="3"/>
  <c r="K26" i="3"/>
  <c r="J26" i="3"/>
  <c r="I26" i="3"/>
  <c r="H26" i="3"/>
  <c r="G26" i="3"/>
  <c r="F26" i="3"/>
  <c r="E26" i="3"/>
  <c r="D26" i="3"/>
  <c r="C26" i="3"/>
  <c r="B26" i="3"/>
  <c r="N25" i="3"/>
  <c r="M25" i="3"/>
  <c r="L25" i="3"/>
  <c r="K25" i="3"/>
  <c r="J25" i="3"/>
  <c r="I25" i="3"/>
  <c r="H25" i="3"/>
  <c r="G25" i="3"/>
  <c r="F25" i="3"/>
  <c r="E25" i="3"/>
  <c r="D25" i="3"/>
  <c r="C25" i="3"/>
  <c r="B25" i="3"/>
  <c r="N24" i="3"/>
  <c r="M24" i="3"/>
  <c r="L24" i="3"/>
  <c r="K24" i="3"/>
  <c r="J24" i="3"/>
  <c r="I24" i="3"/>
  <c r="H24" i="3"/>
  <c r="G24" i="3"/>
  <c r="F24" i="3"/>
  <c r="E24" i="3"/>
  <c r="D24" i="3"/>
  <c r="C24" i="3"/>
  <c r="B24" i="3"/>
  <c r="N23" i="3"/>
  <c r="M23" i="3"/>
  <c r="L23" i="3"/>
  <c r="K23" i="3"/>
  <c r="J23" i="3"/>
  <c r="I23" i="3"/>
  <c r="H23" i="3"/>
  <c r="G23" i="3"/>
  <c r="F23" i="3"/>
  <c r="E23" i="3"/>
  <c r="D23" i="3"/>
  <c r="C23" i="3"/>
  <c r="B23" i="3"/>
  <c r="B39" i="2"/>
  <c r="B38" i="2"/>
  <c r="B37" i="2"/>
  <c r="B36" i="2"/>
  <c r="B35" i="2"/>
  <c r="E32" i="2"/>
  <c r="D32" i="2"/>
  <c r="C32" i="2"/>
  <c r="B32" i="2"/>
  <c r="E31" i="2"/>
  <c r="D31" i="2"/>
  <c r="C31" i="2"/>
  <c r="B31" i="2"/>
  <c r="E30" i="2"/>
  <c r="D30" i="2"/>
  <c r="C30" i="2"/>
  <c r="B30" i="2"/>
  <c r="E29" i="2"/>
  <c r="D29" i="2"/>
  <c r="C29" i="2"/>
  <c r="B29" i="2"/>
  <c r="E28" i="2"/>
  <c r="D28" i="2"/>
  <c r="C28" i="2"/>
  <c r="B28" i="2"/>
  <c r="E27" i="2"/>
  <c r="D27" i="2"/>
  <c r="C27" i="2"/>
  <c r="B27" i="2"/>
  <c r="E23" i="2"/>
  <c r="D23" i="2"/>
  <c r="C23" i="2"/>
  <c r="B23" i="2"/>
  <c r="E22" i="2"/>
  <c r="D22" i="2"/>
  <c r="C22" i="2"/>
  <c r="B22" i="2"/>
  <c r="E21" i="2"/>
  <c r="D21" i="2"/>
  <c r="C21" i="2"/>
  <c r="B21" i="2"/>
  <c r="E20" i="2"/>
  <c r="D20" i="2"/>
  <c r="C20" i="2"/>
  <c r="B20" i="2"/>
  <c r="E19" i="2"/>
  <c r="D19" i="2"/>
  <c r="C19" i="2"/>
  <c r="B19" i="2"/>
  <c r="E18" i="2"/>
  <c r="D18" i="2"/>
  <c r="C18" i="2"/>
  <c r="B18" i="2"/>
  <c r="M19" i="1"/>
  <c r="L19" i="1"/>
  <c r="K19" i="1"/>
  <c r="J19" i="1"/>
  <c r="I19" i="1"/>
  <c r="H19" i="1"/>
  <c r="G19" i="1"/>
  <c r="F19" i="1"/>
  <c r="E19" i="1"/>
  <c r="M18" i="1"/>
  <c r="L18" i="1"/>
  <c r="K18" i="1"/>
  <c r="J18" i="1"/>
  <c r="I18" i="1"/>
  <c r="H18" i="1"/>
  <c r="G18" i="1"/>
  <c r="F18" i="1"/>
  <c r="E18" i="1"/>
  <c r="M17" i="1"/>
  <c r="L17" i="1"/>
  <c r="K17" i="1"/>
  <c r="J17" i="1"/>
  <c r="I17" i="1"/>
  <c r="H17" i="1"/>
  <c r="G17" i="1"/>
  <c r="F17" i="1"/>
  <c r="E17" i="1"/>
  <c r="M16" i="1"/>
  <c r="L16" i="1"/>
  <c r="K16" i="1"/>
  <c r="J16" i="1"/>
  <c r="I16" i="1"/>
  <c r="H16" i="1"/>
  <c r="G16" i="1"/>
  <c r="F16" i="1"/>
  <c r="E16" i="1"/>
  <c r="M15" i="1"/>
  <c r="L15" i="1"/>
  <c r="K15" i="1"/>
  <c r="J15" i="1"/>
  <c r="I15" i="1"/>
  <c r="H15" i="1"/>
  <c r="G15" i="1"/>
  <c r="F15" i="1"/>
  <c r="E15" i="1"/>
  <c r="M14" i="1"/>
  <c r="L14" i="1"/>
  <c r="K14" i="1"/>
  <c r="J14" i="1"/>
  <c r="I14" i="1"/>
  <c r="H14" i="1"/>
  <c r="G14" i="1"/>
  <c r="F14" i="1"/>
  <c r="E14" i="1"/>
  <c r="M13" i="1"/>
  <c r="L13" i="1"/>
  <c r="K13" i="1"/>
  <c r="J13" i="1"/>
  <c r="I13" i="1"/>
  <c r="H13" i="1"/>
  <c r="G13" i="1"/>
  <c r="F13" i="1"/>
  <c r="E13" i="1"/>
  <c r="M12" i="1"/>
  <c r="L12" i="1"/>
  <c r="K12" i="1"/>
  <c r="J12" i="1"/>
  <c r="I12" i="1"/>
  <c r="H12" i="1"/>
  <c r="G12" i="1"/>
  <c r="F12" i="1"/>
  <c r="E12" i="1"/>
  <c r="N37" i="4"/>
  <c r="M37" i="4"/>
  <c r="L37" i="4"/>
  <c r="K37" i="4"/>
  <c r="J37" i="4"/>
  <c r="I37" i="4"/>
  <c r="H37" i="4"/>
  <c r="G37" i="4"/>
  <c r="F37" i="4"/>
  <c r="E37" i="4"/>
  <c r="D37" i="4"/>
  <c r="C37" i="4"/>
  <c r="B37" i="4"/>
  <c r="N36" i="4"/>
  <c r="M36" i="4"/>
  <c r="L36" i="4"/>
  <c r="K36" i="4"/>
  <c r="J36" i="4"/>
  <c r="I36" i="4"/>
  <c r="H36" i="4"/>
  <c r="G36" i="4"/>
  <c r="F36" i="4"/>
  <c r="E36" i="4"/>
  <c r="D36" i="4"/>
  <c r="C36" i="4"/>
  <c r="B36" i="4"/>
  <c r="N35" i="4"/>
  <c r="M35" i="4"/>
  <c r="L35" i="4"/>
  <c r="K35" i="4"/>
  <c r="J35" i="4"/>
  <c r="I35" i="4"/>
  <c r="H35" i="4"/>
  <c r="G35" i="4"/>
  <c r="F35" i="4"/>
  <c r="E35" i="4"/>
  <c r="D35" i="4"/>
  <c r="C35" i="4"/>
  <c r="B35" i="4"/>
  <c r="N34" i="4"/>
  <c r="M34" i="4"/>
  <c r="L34" i="4"/>
  <c r="K34" i="4"/>
  <c r="J34" i="4"/>
  <c r="I34" i="4"/>
  <c r="H34" i="4"/>
  <c r="G34" i="4"/>
  <c r="F34" i="4"/>
  <c r="E34" i="4"/>
  <c r="D34" i="4"/>
  <c r="C34" i="4"/>
  <c r="B34" i="4"/>
  <c r="N33" i="4"/>
  <c r="M33" i="4"/>
  <c r="L33" i="4"/>
  <c r="K33" i="4"/>
  <c r="J33" i="4"/>
  <c r="I33" i="4"/>
  <c r="H33" i="4"/>
  <c r="G33" i="4"/>
  <c r="F33" i="4"/>
  <c r="E33" i="4"/>
  <c r="D33" i="4"/>
  <c r="C33" i="4"/>
  <c r="B33" i="4"/>
  <c r="N30" i="4"/>
  <c r="M30" i="4"/>
  <c r="L30" i="4"/>
  <c r="K30" i="4"/>
  <c r="J30" i="4"/>
  <c r="I30" i="4"/>
  <c r="H30" i="4"/>
  <c r="G30" i="4"/>
  <c r="F30" i="4"/>
  <c r="E30" i="4"/>
  <c r="D30" i="4"/>
  <c r="C30" i="4"/>
  <c r="B30" i="4"/>
  <c r="N29" i="4"/>
  <c r="M29" i="4"/>
  <c r="L29" i="4"/>
  <c r="K29" i="4"/>
  <c r="J29" i="4"/>
  <c r="I29" i="4"/>
  <c r="H29" i="4"/>
  <c r="G29" i="4"/>
  <c r="F29" i="4"/>
  <c r="E29" i="4"/>
  <c r="D29" i="4"/>
  <c r="C29" i="4"/>
  <c r="B29" i="4"/>
  <c r="N28" i="4"/>
  <c r="M28" i="4"/>
  <c r="L28" i="4"/>
  <c r="K28" i="4"/>
  <c r="J28" i="4"/>
  <c r="I28" i="4"/>
  <c r="H28" i="4"/>
  <c r="G28" i="4"/>
  <c r="F28" i="4"/>
  <c r="E28" i="4"/>
  <c r="D28" i="4"/>
  <c r="C28" i="4"/>
  <c r="B28" i="4"/>
  <c r="N25" i="4"/>
  <c r="M25" i="4"/>
  <c r="L25" i="4"/>
  <c r="K25" i="4"/>
  <c r="J25" i="4"/>
  <c r="I25" i="4"/>
  <c r="H25" i="4"/>
  <c r="G25" i="4"/>
  <c r="F25" i="4"/>
  <c r="E25" i="4"/>
  <c r="D25" i="4"/>
  <c r="C25" i="4"/>
  <c r="B25" i="4"/>
  <c r="N24" i="4"/>
  <c r="M24" i="4"/>
  <c r="L24" i="4"/>
  <c r="K24" i="4"/>
  <c r="J24" i="4"/>
  <c r="I24" i="4"/>
  <c r="H24" i="4"/>
  <c r="G24" i="4"/>
  <c r="F24" i="4"/>
  <c r="E24" i="4"/>
  <c r="D24" i="4"/>
  <c r="C24" i="4"/>
  <c r="B24" i="4"/>
  <c r="N23" i="4"/>
  <c r="M23" i="4"/>
  <c r="L23" i="4"/>
  <c r="K23" i="4"/>
  <c r="J23" i="4"/>
  <c r="I23" i="4"/>
  <c r="H23" i="4"/>
  <c r="G23" i="4"/>
  <c r="F23" i="4"/>
  <c r="E23" i="4"/>
  <c r="D23" i="4"/>
  <c r="C23" i="4"/>
  <c r="B23" i="4"/>
  <c r="N20" i="4"/>
  <c r="M20" i="4"/>
  <c r="L20" i="4"/>
  <c r="K20" i="4"/>
  <c r="J20" i="4"/>
  <c r="I20" i="4"/>
  <c r="H20" i="4"/>
  <c r="G20" i="4"/>
  <c r="F20" i="4"/>
  <c r="E20" i="4"/>
  <c r="D20" i="4"/>
  <c r="C20" i="4"/>
  <c r="B20" i="4"/>
  <c r="N19" i="4"/>
  <c r="M19" i="4"/>
  <c r="L19" i="4"/>
  <c r="K19" i="4"/>
  <c r="J19" i="4"/>
  <c r="I19" i="4"/>
  <c r="H19" i="4"/>
  <c r="G19" i="4"/>
  <c r="F19" i="4"/>
  <c r="E19" i="4"/>
  <c r="D19" i="4"/>
  <c r="C19" i="4"/>
  <c r="B19" i="4"/>
  <c r="N18" i="4"/>
  <c r="M18" i="4"/>
  <c r="L18" i="4"/>
  <c r="K18" i="4"/>
  <c r="J18" i="4"/>
  <c r="I18" i="4"/>
  <c r="H18" i="4"/>
  <c r="G18" i="4"/>
  <c r="F18" i="4"/>
  <c r="E18" i="4"/>
  <c r="D18" i="4"/>
  <c r="C18" i="4"/>
  <c r="B18" i="4"/>
  <c r="N15" i="4"/>
  <c r="M15" i="4"/>
  <c r="L15" i="4"/>
  <c r="K15" i="4"/>
  <c r="J15" i="4"/>
  <c r="I15" i="4"/>
  <c r="H15" i="4"/>
  <c r="G15" i="4"/>
  <c r="F15" i="4"/>
  <c r="E15" i="4"/>
  <c r="D15" i="4"/>
  <c r="C15" i="4"/>
  <c r="B15" i="4"/>
  <c r="N14" i="4"/>
  <c r="M14" i="4"/>
  <c r="L14" i="4"/>
  <c r="K14" i="4"/>
  <c r="J14" i="4"/>
  <c r="I14" i="4"/>
  <c r="H14" i="4"/>
  <c r="G14" i="4"/>
  <c r="F14" i="4"/>
  <c r="E14" i="4"/>
  <c r="D14" i="4"/>
  <c r="C14" i="4"/>
  <c r="B14" i="4"/>
  <c r="N13" i="4"/>
  <c r="M13" i="4"/>
  <c r="L13" i="4"/>
  <c r="K13" i="4"/>
  <c r="J13" i="4"/>
  <c r="I13" i="4"/>
  <c r="H13" i="4"/>
  <c r="G13" i="4"/>
  <c r="F13" i="4"/>
  <c r="E13" i="4"/>
  <c r="D13" i="4"/>
  <c r="C13" i="4"/>
  <c r="B13" i="4"/>
</calcChain>
</file>

<file path=xl/sharedStrings.xml><?xml version="1.0" encoding="utf-8"?>
<sst xmlns="http://schemas.openxmlformats.org/spreadsheetml/2006/main" count="105" uniqueCount="46">
  <si>
    <t>&lt;&gt;</t>
  </si>
  <si>
    <t>A</t>
  </si>
  <si>
    <t>B</t>
  </si>
  <si>
    <t>C</t>
  </si>
  <si>
    <t>D</t>
  </si>
  <si>
    <t>E</t>
  </si>
  <si>
    <t>F</t>
  </si>
  <si>
    <t>G</t>
  </si>
  <si>
    <t>H</t>
  </si>
  <si>
    <t>OD450</t>
  </si>
  <si>
    <t>OD630</t>
  </si>
  <si>
    <t>OD</t>
  </si>
  <si>
    <t>平均值</t>
  </si>
  <si>
    <t>数据处理</t>
  </si>
  <si>
    <t>标曲</t>
  </si>
  <si>
    <t>N</t>
  </si>
  <si>
    <t>NUH-55</t>
  </si>
  <si>
    <t>NUH-60</t>
  </si>
  <si>
    <t>RU-55</t>
  </si>
  <si>
    <t>PU-55</t>
  </si>
  <si>
    <t>BU-55</t>
  </si>
  <si>
    <t>GLU-55</t>
  </si>
  <si>
    <t>RU-60</t>
  </si>
  <si>
    <t>PU-60</t>
  </si>
  <si>
    <t>BU-60</t>
  </si>
  <si>
    <t>GLU-60</t>
  </si>
  <si>
    <t>0-0.462300022443136</t>
  </si>
  <si>
    <t>X</t>
  </si>
  <si>
    <t>y = -0.432x + 1.032</t>
  </si>
  <si>
    <t>计算</t>
  </si>
  <si>
    <t>实际值</t>
  </si>
  <si>
    <t>标准差</t>
  </si>
  <si>
    <t>平均值数据</t>
  </si>
  <si>
    <t>标准差数据</t>
  </si>
  <si>
    <t>绘图</t>
  </si>
  <si>
    <t>0h</t>
  </si>
  <si>
    <t>误差</t>
  </si>
  <si>
    <t>55℃</t>
  </si>
  <si>
    <t>60℃</t>
  </si>
  <si>
    <t>N-U</t>
  </si>
  <si>
    <t>乳糖-U-2h</t>
  </si>
  <si>
    <t>乳糖-U-4h</t>
  </si>
  <si>
    <t>葡萄糖-U-2h</t>
  </si>
  <si>
    <t>葡萄糖-U-4h</t>
  </si>
  <si>
    <t>半乳糖-U-4h</t>
  </si>
  <si>
    <t>甘露糖-U-4h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</si>
</sst>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 x14ac:knownFonts="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rgb="FFFFFFFF"/>
      <name val="宋体"/>
      <charset val="134"/>
      <scheme val="minor"/>
    </font>
    <font>
      <sz val="11"/>
      <color rgb="FFFFFFFF"/>
      <name val="宋体"/>
      <charset val="134"/>
      <scheme val="minor"/>
    </font>
    <font>
      <sz val="9"/>
      <name val="宋体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2" borderId="0" xfId="0" applyFont="1" applyFill="1">
      <alignment vertical="center"/>
    </xf>
    <xf numFmtId="0" fontId="6" fillId="2" borderId="0" xfId="0" applyFont="1" applyFill="1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anchor="ctr" anchorCtr="1"/>
                <a:lstStyle/>
                <a:p>
                  <a:pPr>
                    <a:defRPr lang="zh-CN"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[1]标曲!$B$35:$B$39</c:f>
              <c:numCache>
                <c:formatCode>General</c:formatCode>
                <c:ptCount val="5"/>
                <c:pt idx="0">
                  <c:v>0</c:v>
                </c:pt>
                <c:pt idx="1">
                  <c:v>0.60205999132796195</c:v>
                </c:pt>
                <c:pt idx="2">
                  <c:v>0.90308998699194398</c:v>
                </c:pt>
                <c:pt idx="3">
                  <c:v>1.2041199826559199</c:v>
                </c:pt>
                <c:pt idx="4">
                  <c:v>1.80617997398389</c:v>
                </c:pt>
              </c:numCache>
            </c:numRef>
          </c:xVal>
          <c:yVal>
            <c:numRef>
              <c:f>[1]标曲!$C$35:$C$39</c:f>
              <c:numCache>
                <c:formatCode>General</c:formatCode>
                <c:ptCount val="5"/>
                <c:pt idx="0">
                  <c:v>1.03093223911892</c:v>
                </c:pt>
                <c:pt idx="1">
                  <c:v>0.80813318403449796</c:v>
                </c:pt>
                <c:pt idx="2">
                  <c:v>0.60199004595174399</c:v>
                </c:pt>
                <c:pt idx="3">
                  <c:v>0.50270381551364096</c:v>
                </c:pt>
                <c:pt idx="4">
                  <c:v>0.26584468037703801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5C4-4777-9541-480A9B1D23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1785670"/>
        <c:axId val="252120831"/>
      </c:scatterChart>
      <c:valAx>
        <c:axId val="49178567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52120831"/>
        <c:crosses val="autoZero"/>
        <c:crossBetween val="midCat"/>
      </c:valAx>
      <c:valAx>
        <c:axId val="252120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91785670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ddffa5e-2be2-4416-b074-6cc354d65bed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96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  <a:r>
              <a:rPr lang="el-GR" sz="960" b="1"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rPr>
              <a:t>β-</a:t>
            </a:r>
            <a:r>
              <a:rPr lang="en-US" sz="960" b="1"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rPr>
              <a:t>Lg-</a:t>
            </a:r>
            <a:r>
              <a:rPr lang="zh-CN" altLang="en-US" sz="960" b="1"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rPr>
              <a:t>糖基化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 defTabSz="914400">
            <a:defRPr lang="zh-CN" sz="96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Times New Roman" panose="02020603050405020304" charset="0"/>
              <a:ea typeface="Times New Roman" panose="02020603050405020304" charset="0"/>
              <a:cs typeface="Times New Roman" panose="02020603050405020304" charset="0"/>
              <a:sym typeface="Times New Roman" panose="02020603050405020304" charset="0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0.11360751521389542"/>
          <c:y val="0.18054559215006188"/>
          <c:w val="0.85738396624472601"/>
          <c:h val="0.7548056783802650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挑选!$C$43</c:f>
              <c:strCache>
                <c:ptCount val="1"/>
                <c:pt idx="0">
                  <c:v>0h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挑选!$D$44:$D$51</c:f>
                <c:numCache>
                  <c:formatCode>General</c:formatCode>
                  <c:ptCount val="8"/>
                  <c:pt idx="0">
                    <c:v>0.36679844631718</c:v>
                  </c:pt>
                </c:numCache>
              </c:numRef>
            </c:plus>
            <c:minus>
              <c:numRef>
                <c:f>挑选!$D$44:$D$51</c:f>
                <c:numCache>
                  <c:formatCode>General</c:formatCode>
                  <c:ptCount val="8"/>
                  <c:pt idx="0">
                    <c:v>0.36679844631718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挑选!$B$44:$B$51</c:f>
              <c:strCache>
                <c:ptCount val="8"/>
                <c:pt idx="0">
                  <c:v>N</c:v>
                </c:pt>
                <c:pt idx="1">
                  <c:v>N-U</c:v>
                </c:pt>
                <c:pt idx="2">
                  <c:v>乳糖-U-2h</c:v>
                </c:pt>
                <c:pt idx="3">
                  <c:v>乳糖-U-4h</c:v>
                </c:pt>
                <c:pt idx="4">
                  <c:v>葡萄糖-U-2h</c:v>
                </c:pt>
                <c:pt idx="5">
                  <c:v>葡萄糖-U-4h</c:v>
                </c:pt>
                <c:pt idx="6">
                  <c:v>半乳糖-U-4h</c:v>
                </c:pt>
                <c:pt idx="7">
                  <c:v>甘露糖-U-4h</c:v>
                </c:pt>
              </c:strCache>
            </c:strRef>
          </c:cat>
          <c:val>
            <c:numRef>
              <c:f>挑选!$C$44:$C$51</c:f>
              <c:numCache>
                <c:formatCode>General</c:formatCode>
                <c:ptCount val="8"/>
                <c:pt idx="0">
                  <c:v>10.218815867232999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BA-4C8A-B489-ECABB6907E0A}"/>
            </c:ext>
          </c:extLst>
        </c:ser>
        <c:ser>
          <c:idx val="2"/>
          <c:order val="1"/>
          <c:tx>
            <c:strRef>
              <c:f>挑选!$E$43</c:f>
              <c:strCache>
                <c:ptCount val="1"/>
                <c:pt idx="0">
                  <c:v>55℃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挑选!$F$44:$F$51</c:f>
                <c:numCache>
                  <c:formatCode>General</c:formatCode>
                  <c:ptCount val="8"/>
                  <c:pt idx="1">
                    <c:v>0.31957238288534201</c:v>
                  </c:pt>
                  <c:pt idx="3">
                    <c:v>8.2865120497099598E-2</c:v>
                  </c:pt>
                  <c:pt idx="4">
                    <c:v>0.22303641525481499</c:v>
                  </c:pt>
                  <c:pt idx="5">
                    <c:v>0.26786336445588899</c:v>
                  </c:pt>
                  <c:pt idx="6">
                    <c:v>0.23820417434736599</c:v>
                  </c:pt>
                  <c:pt idx="7">
                    <c:v>0.180241716445597</c:v>
                  </c:pt>
                </c:numCache>
              </c:numRef>
            </c:plus>
            <c:minus>
              <c:numRef>
                <c:f>挑选!$F$44:$F$51</c:f>
                <c:numCache>
                  <c:formatCode>General</c:formatCode>
                  <c:ptCount val="8"/>
                  <c:pt idx="1">
                    <c:v>0.31957238288534201</c:v>
                  </c:pt>
                  <c:pt idx="3">
                    <c:v>8.2865120497099598E-2</c:v>
                  </c:pt>
                  <c:pt idx="4">
                    <c:v>0.22303641525481499</c:v>
                  </c:pt>
                  <c:pt idx="5">
                    <c:v>0.26786336445588899</c:v>
                  </c:pt>
                  <c:pt idx="6">
                    <c:v>0.23820417434736599</c:v>
                  </c:pt>
                  <c:pt idx="7">
                    <c:v>0.180241716445597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挑选!$B$44:$B$51</c:f>
              <c:strCache>
                <c:ptCount val="8"/>
                <c:pt idx="0">
                  <c:v>N</c:v>
                </c:pt>
                <c:pt idx="1">
                  <c:v>N-U</c:v>
                </c:pt>
                <c:pt idx="2">
                  <c:v>乳糖-U-2h</c:v>
                </c:pt>
                <c:pt idx="3">
                  <c:v>乳糖-U-4h</c:v>
                </c:pt>
                <c:pt idx="4">
                  <c:v>葡萄糖-U-2h</c:v>
                </c:pt>
                <c:pt idx="5">
                  <c:v>葡萄糖-U-4h</c:v>
                </c:pt>
                <c:pt idx="6">
                  <c:v>半乳糖-U-4h</c:v>
                </c:pt>
                <c:pt idx="7">
                  <c:v>甘露糖-U-4h</c:v>
                </c:pt>
              </c:strCache>
            </c:strRef>
          </c:cat>
          <c:val>
            <c:numRef>
              <c:f>挑选!$E$44:$E$51</c:f>
              <c:numCache>
                <c:formatCode>General</c:formatCode>
                <c:ptCount val="8"/>
                <c:pt idx="1">
                  <c:v>7.5681521180080704</c:v>
                </c:pt>
                <c:pt idx="3">
                  <c:v>4.93999541040243</c:v>
                </c:pt>
                <c:pt idx="4">
                  <c:v>4.2690297646563904</c:v>
                </c:pt>
                <c:pt idx="5">
                  <c:v>4.09688597572063</c:v>
                </c:pt>
                <c:pt idx="6">
                  <c:v>4.1298945026037197</c:v>
                </c:pt>
                <c:pt idx="7">
                  <c:v>3.5361183820835498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BA-4C8A-B489-ECABB6907E0A}"/>
            </c:ext>
          </c:extLst>
        </c:ser>
        <c:ser>
          <c:idx val="4"/>
          <c:order val="2"/>
          <c:tx>
            <c:strRef>
              <c:f>挑选!$G$43</c:f>
              <c:strCache>
                <c:ptCount val="1"/>
                <c:pt idx="0">
                  <c:v>60℃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挑选!$H$44:$H$51</c:f>
                <c:numCache>
                  <c:formatCode>General</c:formatCode>
                  <c:ptCount val="8"/>
                  <c:pt idx="1">
                    <c:v>0.16669945087228999</c:v>
                  </c:pt>
                  <c:pt idx="2">
                    <c:v>0.24297927052364099</c:v>
                  </c:pt>
                  <c:pt idx="3">
                    <c:v>0.262467800976313</c:v>
                  </c:pt>
                  <c:pt idx="5">
                    <c:v>0.155104599822907</c:v>
                  </c:pt>
                  <c:pt idx="6">
                    <c:v>0.30587288165864401</c:v>
                  </c:pt>
                  <c:pt idx="7">
                    <c:v>7.0589238422169395E-2</c:v>
                  </c:pt>
                </c:numCache>
              </c:numRef>
            </c:plus>
            <c:minus>
              <c:numRef>
                <c:f>挑选!$H$44:$H$51</c:f>
                <c:numCache>
                  <c:formatCode>General</c:formatCode>
                  <c:ptCount val="8"/>
                  <c:pt idx="1">
                    <c:v>0.16669945087228999</c:v>
                  </c:pt>
                  <c:pt idx="2">
                    <c:v>0.24297927052364099</c:v>
                  </c:pt>
                  <c:pt idx="3">
                    <c:v>0.262467800976313</c:v>
                  </c:pt>
                  <c:pt idx="5">
                    <c:v>0.155104599822907</c:v>
                  </c:pt>
                  <c:pt idx="6">
                    <c:v>0.30587288165864401</c:v>
                  </c:pt>
                  <c:pt idx="7">
                    <c:v>7.0589238422169395E-2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挑选!$B$44:$B$51</c:f>
              <c:strCache>
                <c:ptCount val="8"/>
                <c:pt idx="0">
                  <c:v>N</c:v>
                </c:pt>
                <c:pt idx="1">
                  <c:v>N-U</c:v>
                </c:pt>
                <c:pt idx="2">
                  <c:v>乳糖-U-2h</c:v>
                </c:pt>
                <c:pt idx="3">
                  <c:v>乳糖-U-4h</c:v>
                </c:pt>
                <c:pt idx="4">
                  <c:v>葡萄糖-U-2h</c:v>
                </c:pt>
                <c:pt idx="5">
                  <c:v>葡萄糖-U-4h</c:v>
                </c:pt>
                <c:pt idx="6">
                  <c:v>半乳糖-U-4h</c:v>
                </c:pt>
                <c:pt idx="7">
                  <c:v>甘露糖-U-4h</c:v>
                </c:pt>
              </c:strCache>
            </c:strRef>
          </c:cat>
          <c:val>
            <c:numRef>
              <c:f>挑选!$G$44:$G$51</c:f>
              <c:numCache>
                <c:formatCode>General</c:formatCode>
                <c:ptCount val="8"/>
                <c:pt idx="1">
                  <c:v>6.5435816978827903</c:v>
                </c:pt>
                <c:pt idx="2">
                  <c:v>5.0158577342962598</c:v>
                </c:pt>
                <c:pt idx="3">
                  <c:v>4.4363898979608001</c:v>
                </c:pt>
                <c:pt idx="5">
                  <c:v>4.0724935534021496</c:v>
                </c:pt>
                <c:pt idx="6">
                  <c:v>3.95404187295718</c:v>
                </c:pt>
                <c:pt idx="7">
                  <c:v>3.2546798769903602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7BA-4C8A-B489-ECABB6907E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axId val="201206809"/>
        <c:axId val="346877653"/>
      </c:barChart>
      <c:catAx>
        <c:axId val="20120680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  <a:endParaRPr lang="zh-CN"/>
          </a:p>
        </c:txPr>
        <c:crossAx val="346877653"/>
        <c:crosses val="autoZero"/>
        <c:auto val="1"/>
        <c:lblAlgn val="ctr"/>
        <c:lblOffset val="100"/>
        <c:noMultiLvlLbl val="0"/>
      </c:catAx>
      <c:valAx>
        <c:axId val="34687765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8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defRPr>
                </a:pPr>
                <a:r>
                  <a:rPr lang="en-US" sz="800"/>
                  <a:t>IgG</a:t>
                </a:r>
                <a:r>
                  <a:rPr lang="zh-CN" altLang="en-US" sz="800"/>
                  <a:t>结合力 </a:t>
                </a:r>
                <a:r>
                  <a:rPr lang="en-US" altLang="zh-CN" sz="800"/>
                  <a:t>(</a:t>
                </a:r>
                <a:r>
                  <a:rPr lang="en-US" sz="800"/>
                  <a:t>mg/mL)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0" vertOverflow="ellipsis" vert="horz" wrap="square" anchor="ctr" anchorCtr="1"/>
            <a:lstStyle/>
            <a:p>
              <a:pPr defTabSz="914400">
                <a:defRPr lang="zh-CN" sz="8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charset="0"/>
                  <a:ea typeface="Times New Roman" panose="02020603050405020304" charset="0"/>
                  <a:cs typeface="Times New Roman" panose="02020603050405020304" charset="0"/>
                  <a:sym typeface="Times New Roman" panose="02020603050405020304" charset="0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  <a:endParaRPr lang="zh-CN"/>
          </a:p>
        </c:txPr>
        <c:crossAx val="20120680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delete val="1"/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zh-CN" sz="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  <a:endParaRPr lang="zh-CN"/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zh-CN" sz="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  <a:endParaRPr lang="zh-CN"/>
          </a:p>
        </c:txPr>
      </c:legendEntry>
      <c:layout>
        <c:manualLayout>
          <c:xMode val="edge"/>
          <c:yMode val="edge"/>
          <c:x val="0.78403416557161598"/>
          <c:y val="0.26064576509124898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8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charset="0"/>
              <a:ea typeface="Times New Roman" panose="02020603050405020304" charset="0"/>
              <a:cs typeface="Times New Roman" panose="02020603050405020304" charset="0"/>
              <a:sym typeface="Times New Roman" panose="02020603050405020304" charset="0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 sz="800" b="1">
          <a:latin typeface="Times New Roman" panose="02020603050405020304" charset="0"/>
          <a:ea typeface="Times New Roman" panose="02020603050405020304" charset="0"/>
          <a:cs typeface="Times New Roman" panose="02020603050405020304" charset="0"/>
          <a:sym typeface="Times New Roman" panose="02020603050405020304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120650</xdr:colOff>
      <xdr:row>7</xdr:row>
      <xdr:rowOff>107950</xdr:rowOff>
    </xdr:from>
    <xdr:to>
      <xdr:col>13</xdr:col>
      <xdr:colOff>546100</xdr:colOff>
      <xdr:row>23</xdr:row>
      <xdr:rowOff>6350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194310</xdr:colOff>
      <xdr:row>46</xdr:row>
      <xdr:rowOff>63500</xdr:rowOff>
    </xdr:from>
    <xdr:to>
      <xdr:col>16</xdr:col>
      <xdr:colOff>158750</xdr:colOff>
      <xdr:row>67</xdr:row>
      <xdr:rowOff>154305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835025</xdr:colOff>
      <xdr:row>46</xdr:row>
      <xdr:rowOff>136525</xdr:rowOff>
    </xdr:from>
    <xdr:to>
      <xdr:col>16</xdr:col>
      <xdr:colOff>142240</xdr:colOff>
      <xdr:row>50</xdr:row>
      <xdr:rowOff>102870</xdr:rowOff>
    </xdr:to>
    <xdr:sp macro="" textlink="">
      <xdr:nvSpPr>
        <xdr:cNvPr id="5" name="文本框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 txBox="1"/>
      </xdr:nvSpPr>
      <xdr:spPr>
        <a:xfrm>
          <a:off x="12188825" y="8315325"/>
          <a:ext cx="1421765" cy="677545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800" b="1">
              <a:latin typeface="Times New Roman" panose="02020603050405020304" charset="0"/>
              <a:cs typeface="Times New Roman" panose="02020603050405020304" charset="0"/>
            </a:rPr>
            <a:t>10 mg/mL β-Lg </a:t>
          </a:r>
          <a:r>
            <a:rPr lang="en-US" altLang="zh-CN" sz="800" b="1">
              <a:latin typeface="Times New Roman" panose="02020603050405020304" charset="0"/>
              <a:cs typeface="Times New Roman" panose="02020603050405020304" charset="0"/>
              <a:sym typeface="+mn-ea"/>
            </a:rPr>
            <a:t> 1: 2</a:t>
          </a:r>
          <a:r>
            <a:rPr lang="zh-CN" altLang="en-US" sz="800" b="1">
              <a:latin typeface="Times New Roman" panose="02020603050405020304" charset="0"/>
              <a:cs typeface="Times New Roman" panose="02020603050405020304" charset="0"/>
              <a:sym typeface="+mn-ea"/>
            </a:rPr>
            <a:t>质量比</a:t>
          </a:r>
        </a:p>
        <a:p>
          <a:pPr algn="l"/>
          <a:r>
            <a:rPr lang="en-US" altLang="zh-CN" sz="800" b="1">
              <a:latin typeface="Times New Roman" panose="02020603050405020304" charset="0"/>
              <a:cs typeface="Times New Roman" panose="02020603050405020304" charset="0"/>
              <a:sym typeface="+mn-ea"/>
            </a:rPr>
            <a:t>400 W 12 min</a:t>
          </a:r>
          <a:r>
            <a:rPr lang="zh-CN" altLang="en-US" sz="800" b="1">
              <a:latin typeface="Times New Roman" panose="02020603050405020304" charset="0"/>
              <a:cs typeface="Times New Roman" panose="02020603050405020304" charset="0"/>
              <a:sym typeface="+mn-ea"/>
            </a:rPr>
            <a:t>超声</a:t>
          </a:r>
          <a:endParaRPr lang="en-US" altLang="zh-CN" sz="800" b="1">
            <a:latin typeface="Times New Roman" panose="02020603050405020304" charset="0"/>
            <a:cs typeface="Times New Roman" panose="02020603050405020304" charset="0"/>
          </a:endParaRPr>
        </a:p>
        <a:p>
          <a:pPr algn="l"/>
          <a:r>
            <a:rPr lang="en-US" altLang="zh-CN" sz="800" b="1">
              <a:latin typeface="Times New Roman" panose="02020603050405020304" charset="0"/>
              <a:cs typeface="Times New Roman" panose="02020603050405020304" charset="0"/>
            </a:rPr>
            <a:t>60</a:t>
          </a:r>
          <a:r>
            <a:rPr lang="zh-CN" altLang="en-US" sz="800" b="1">
              <a:latin typeface="Times New Roman" panose="02020603050405020304" charset="0"/>
              <a:cs typeface="Times New Roman" panose="02020603050405020304" charset="0"/>
            </a:rPr>
            <a:t>℃</a:t>
          </a:r>
          <a:r>
            <a:rPr lang="en-US" altLang="zh-CN" sz="800" b="1">
              <a:latin typeface="Times New Roman" panose="02020603050405020304" charset="0"/>
              <a:cs typeface="Times New Roman" panose="02020603050405020304" charset="0"/>
            </a:rPr>
            <a:t> </a:t>
          </a:r>
          <a:r>
            <a:rPr lang="zh-CN" altLang="en-US" sz="800" b="1">
              <a:latin typeface="Times New Roman" panose="02020603050405020304" charset="0"/>
              <a:cs typeface="Times New Roman" panose="02020603050405020304" charset="0"/>
            </a:rPr>
            <a:t>干法</a:t>
          </a:r>
          <a:r>
            <a:rPr lang="en-US" altLang="zh-CN" sz="800" b="1">
              <a:latin typeface="Times New Roman" panose="02020603050405020304" charset="0"/>
              <a:cs typeface="Times New Roman" panose="02020603050405020304" charset="0"/>
            </a:rPr>
            <a:t> </a:t>
          </a:r>
          <a:r>
            <a:rPr lang="zh-CN" altLang="en-US" sz="800" b="1">
              <a:latin typeface="Times New Roman" panose="02020603050405020304" charset="0"/>
              <a:cs typeface="Times New Roman" panose="02020603050405020304" charset="0"/>
            </a:rPr>
            <a:t>水分活度</a:t>
          </a:r>
          <a:r>
            <a:rPr lang="en-US" altLang="zh-CN" sz="800" b="1">
              <a:latin typeface="Times New Roman" panose="02020603050405020304" charset="0"/>
              <a:cs typeface="Times New Roman" panose="02020603050405020304" charset="0"/>
            </a:rPr>
            <a:t>0.79</a:t>
          </a:r>
          <a:endParaRPr lang="zh-CN" altLang="en-US" sz="800" b="1">
            <a:latin typeface="Times New Roman" panose="02020603050405020304" charset="0"/>
            <a:cs typeface="Times New Roman" panose="02020603050405020304" charset="0"/>
          </a:endParaRPr>
        </a:p>
        <a:p>
          <a:pPr algn="l"/>
          <a:r>
            <a:rPr lang="en-US" altLang="zh-CN" sz="800" b="1">
              <a:latin typeface="Times New Roman" panose="02020603050405020304" charset="0"/>
              <a:cs typeface="Times New Roman" panose="02020603050405020304" charset="0"/>
            </a:rPr>
            <a:t>20 mmPB pH7.3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6.3.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3"/>
      <sheetName val="Sheet4"/>
      <sheetName val="Sheet2"/>
      <sheetName val="标曲"/>
      <sheetName val="数据处理"/>
      <sheetName val="挑选1"/>
      <sheetName val="Sheet6"/>
    </sheetNames>
    <sheetDataSet>
      <sheetData sheetId="0"/>
      <sheetData sheetId="1"/>
      <sheetData sheetId="2"/>
      <sheetData sheetId="3">
        <row r="35">
          <cell r="B35">
            <v>0</v>
          </cell>
          <cell r="C35">
            <v>1.03093223911892</v>
          </cell>
        </row>
        <row r="36">
          <cell r="B36">
            <v>0.60205999132796195</v>
          </cell>
          <cell r="C36">
            <v>0.80813318403449796</v>
          </cell>
        </row>
        <row r="37">
          <cell r="B37">
            <v>0.90308998699194398</v>
          </cell>
          <cell r="C37">
            <v>0.60199004595174399</v>
          </cell>
        </row>
        <row r="38">
          <cell r="B38">
            <v>1.2041199826559199</v>
          </cell>
          <cell r="C38">
            <v>0.50270381551364096</v>
          </cell>
        </row>
        <row r="39">
          <cell r="B39">
            <v>1.80617997398389</v>
          </cell>
          <cell r="C39">
            <v>0.26584468037703801</v>
          </cell>
        </row>
      </sheetData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9"/>
  <sheetViews>
    <sheetView topLeftCell="I1" workbookViewId="0">
      <selection activeCell="U9" sqref="U9"/>
    </sheetView>
  </sheetViews>
  <sheetFormatPr defaultColWidth="8.77734375" defaultRowHeight="14.4" x14ac:dyDescent="0.25"/>
  <sheetData>
    <row r="1" spans="1:19" x14ac:dyDescent="0.25">
      <c r="A1" s="5" t="s">
        <v>0</v>
      </c>
      <c r="B1" s="5">
        <v>1</v>
      </c>
      <c r="C1" s="5">
        <v>2</v>
      </c>
      <c r="D1" s="5">
        <v>3</v>
      </c>
      <c r="E1" s="5">
        <v>4</v>
      </c>
      <c r="F1" s="5">
        <v>5</v>
      </c>
      <c r="G1" s="5">
        <v>6</v>
      </c>
      <c r="H1" s="5">
        <v>7</v>
      </c>
      <c r="I1" s="5">
        <v>8</v>
      </c>
      <c r="J1" s="5">
        <v>9</v>
      </c>
      <c r="K1" s="5">
        <v>10</v>
      </c>
      <c r="L1" s="5">
        <v>11</v>
      </c>
      <c r="M1" s="5">
        <v>12</v>
      </c>
      <c r="O1" s="6" t="s">
        <v>0</v>
      </c>
      <c r="P1" s="6">
        <v>1</v>
      </c>
      <c r="Q1" s="6">
        <v>2</v>
      </c>
      <c r="R1" s="6">
        <v>3</v>
      </c>
      <c r="S1" s="6">
        <v>4</v>
      </c>
    </row>
    <row r="2" spans="1:19" x14ac:dyDescent="0.25">
      <c r="A2" s="5" t="s">
        <v>1</v>
      </c>
      <c r="B2" s="1">
        <v>0.18880000710487399</v>
      </c>
      <c r="C2" s="1">
        <v>0.18739999830722801</v>
      </c>
      <c r="D2" s="1">
        <v>0.18739999830722801</v>
      </c>
      <c r="E2" s="1">
        <v>0.29629999399185197</v>
      </c>
      <c r="F2" s="1">
        <v>0.32420000433921797</v>
      </c>
      <c r="G2" s="1">
        <v>0.32780000567436202</v>
      </c>
      <c r="H2" s="1">
        <v>0.36010000109672502</v>
      </c>
      <c r="I2" s="1">
        <v>0.30919998884201</v>
      </c>
      <c r="J2" s="1">
        <v>0.32300001382827798</v>
      </c>
      <c r="K2" s="1">
        <v>0.36359998583793601</v>
      </c>
      <c r="L2" s="1">
        <v>0.397399991750717</v>
      </c>
      <c r="M2" s="1">
        <v>0.30270001292228699</v>
      </c>
      <c r="N2" s="1"/>
      <c r="O2" s="6" t="s">
        <v>1</v>
      </c>
      <c r="P2" s="1">
        <v>0.49430000782012901</v>
      </c>
      <c r="Q2" s="1">
        <v>0.45120000839233398</v>
      </c>
      <c r="R2" s="1">
        <v>0.44920000433921797</v>
      </c>
      <c r="S2" s="1">
        <v>0.449699997901917</v>
      </c>
    </row>
    <row r="3" spans="1:19" x14ac:dyDescent="0.25">
      <c r="A3" s="5" t="s">
        <v>2</v>
      </c>
      <c r="B3" s="1">
        <v>0.29859998822212203</v>
      </c>
      <c r="C3" s="1">
        <v>0.30739998817443798</v>
      </c>
      <c r="D3" s="1">
        <v>0.30410000681877097</v>
      </c>
      <c r="E3" s="1">
        <v>0.39520001411437999</v>
      </c>
      <c r="F3" s="1">
        <v>0.39989998936653098</v>
      </c>
      <c r="G3" s="1">
        <v>0.40779998898506198</v>
      </c>
      <c r="H3" s="1">
        <v>0.437400013208389</v>
      </c>
      <c r="I3" s="1">
        <v>0.40009999275207497</v>
      </c>
      <c r="J3" s="1">
        <v>0.41429999470710799</v>
      </c>
      <c r="K3" s="1">
        <v>0.43520000576973</v>
      </c>
      <c r="L3" s="1">
        <v>0.42879998683929399</v>
      </c>
      <c r="M3" s="1">
        <v>0.39259999990463301</v>
      </c>
      <c r="N3" s="1"/>
      <c r="O3" s="6" t="s">
        <v>2</v>
      </c>
      <c r="P3" s="1">
        <v>0.51859998703002896</v>
      </c>
      <c r="Q3" s="1">
        <v>0.470999985933304</v>
      </c>
      <c r="R3" s="1">
        <v>0.47189998626709001</v>
      </c>
      <c r="S3" s="1">
        <v>0.46020001173019398</v>
      </c>
    </row>
    <row r="4" spans="1:19" x14ac:dyDescent="0.25">
      <c r="A4" s="5" t="s">
        <v>3</v>
      </c>
      <c r="B4" s="1">
        <v>0.31479999423027</v>
      </c>
      <c r="C4" s="1">
        <v>0.33390000462531999</v>
      </c>
      <c r="D4" s="1">
        <v>0.34520001173019399</v>
      </c>
      <c r="E4" s="1">
        <v>0.32940000295638999</v>
      </c>
      <c r="F4" s="1">
        <v>0.351500004529953</v>
      </c>
      <c r="G4" s="1">
        <v>0.35109999775886502</v>
      </c>
      <c r="H4" s="1">
        <v>0.39669999480247498</v>
      </c>
      <c r="I4" s="1">
        <v>0.35539999604225198</v>
      </c>
      <c r="J4" s="1">
        <v>0.350400000810623</v>
      </c>
      <c r="K4" s="1">
        <v>0.36620000004768399</v>
      </c>
      <c r="L4" s="1">
        <v>0.39989998936653098</v>
      </c>
      <c r="M4" s="1">
        <v>0.37149998545646701</v>
      </c>
      <c r="N4" s="1"/>
      <c r="O4" s="6" t="s">
        <v>3</v>
      </c>
      <c r="P4" s="1">
        <v>0.46819999814033503</v>
      </c>
      <c r="Q4" s="1">
        <v>0.42710000276565602</v>
      </c>
      <c r="R4" s="1">
        <v>0.42269998788833602</v>
      </c>
      <c r="S4" s="1">
        <v>0.44530001282692</v>
      </c>
    </row>
    <row r="5" spans="1:19" x14ac:dyDescent="0.25">
      <c r="A5" s="5" t="s">
        <v>4</v>
      </c>
      <c r="B5" s="1">
        <v>0.45950001478195202</v>
      </c>
      <c r="C5" s="1">
        <v>0.45239998936653097</v>
      </c>
      <c r="D5" s="1">
        <v>0.45710000395774802</v>
      </c>
      <c r="E5" s="1">
        <v>0.39340001344680797</v>
      </c>
      <c r="F5" s="1">
        <v>0.41819998621940602</v>
      </c>
      <c r="G5" s="1">
        <v>0.41729998588562001</v>
      </c>
      <c r="H5" s="1">
        <v>0.44690001010894798</v>
      </c>
      <c r="I5" s="1">
        <v>0.40160000324249301</v>
      </c>
      <c r="J5" s="1">
        <v>0.42120000720024098</v>
      </c>
      <c r="K5" s="1">
        <v>0.45190000534057601</v>
      </c>
      <c r="L5" s="1">
        <v>0.45939999818801902</v>
      </c>
      <c r="M5" s="1">
        <v>0.40990000963211098</v>
      </c>
      <c r="N5" s="1"/>
      <c r="O5" s="6" t="s">
        <v>4</v>
      </c>
      <c r="P5" s="1">
        <v>0.50789999961853005</v>
      </c>
      <c r="Q5" s="1">
        <v>0.47470000386238098</v>
      </c>
      <c r="R5" s="1">
        <v>0.47459998726844799</v>
      </c>
      <c r="S5" s="1">
        <v>0.46619999408721902</v>
      </c>
    </row>
    <row r="6" spans="1:19" x14ac:dyDescent="0.25">
      <c r="A6" s="5" t="s">
        <v>5</v>
      </c>
      <c r="B6" s="1">
        <v>0.52939999699592599</v>
      </c>
      <c r="C6" s="1">
        <v>0.53349999189376796</v>
      </c>
      <c r="D6" s="1">
        <v>0.48500001430511502</v>
      </c>
      <c r="E6" s="1">
        <v>0.30300000309944197</v>
      </c>
      <c r="F6" s="1">
        <v>0.31439998745918302</v>
      </c>
      <c r="G6" s="1">
        <v>0.333700001239777</v>
      </c>
      <c r="H6" s="1">
        <v>0.38879999518394498</v>
      </c>
      <c r="I6" s="1">
        <v>0.34749999642372098</v>
      </c>
      <c r="J6" s="1">
        <v>0.375</v>
      </c>
      <c r="K6" s="1">
        <v>0.39120000600814803</v>
      </c>
      <c r="L6" s="1">
        <v>0.41800001263618503</v>
      </c>
      <c r="M6" s="1">
        <v>0.37540000677108798</v>
      </c>
      <c r="N6" s="1"/>
      <c r="O6" s="6" t="s">
        <v>5</v>
      </c>
      <c r="P6" s="1">
        <v>0.49459999799728399</v>
      </c>
      <c r="Q6" s="1">
        <v>0.44139999151229897</v>
      </c>
      <c r="R6" s="1">
        <v>0.45730000734329201</v>
      </c>
      <c r="S6" s="1">
        <v>0.46810001134872398</v>
      </c>
    </row>
    <row r="7" spans="1:19" x14ac:dyDescent="0.25">
      <c r="A7" s="5" t="s">
        <v>6</v>
      </c>
      <c r="B7" s="1">
        <v>0.56150001287460305</v>
      </c>
      <c r="C7" s="1">
        <v>0.52890002727508501</v>
      </c>
      <c r="D7" s="1">
        <v>0.53860002756118797</v>
      </c>
      <c r="E7" s="1">
        <v>0.34509998559951799</v>
      </c>
      <c r="F7" s="1">
        <v>0.34950000047683699</v>
      </c>
      <c r="G7" s="1">
        <v>0.36039999127388</v>
      </c>
      <c r="H7" s="1">
        <v>0.38859999179840099</v>
      </c>
      <c r="I7" s="1">
        <v>0.36980000138282798</v>
      </c>
      <c r="J7" s="1">
        <v>0.37549999356269798</v>
      </c>
      <c r="K7" s="1">
        <v>0.39269998669624301</v>
      </c>
      <c r="L7" s="1">
        <v>0.42849999666214</v>
      </c>
      <c r="M7" s="1">
        <v>0.36090001463890098</v>
      </c>
      <c r="N7" s="1"/>
      <c r="O7" s="6" t="s">
        <v>6</v>
      </c>
      <c r="P7" s="1">
        <v>0.47740000486373901</v>
      </c>
      <c r="Q7" s="1">
        <v>0.42649999260902399</v>
      </c>
      <c r="R7" s="1">
        <v>0.42649999260902399</v>
      </c>
      <c r="S7" s="1">
        <v>0.43579998612403897</v>
      </c>
    </row>
    <row r="8" spans="1:19" x14ac:dyDescent="0.25">
      <c r="A8" s="5" t="s">
        <v>7</v>
      </c>
      <c r="B8" s="1">
        <v>0.71619999408721902</v>
      </c>
      <c r="C8" s="1">
        <v>0.683000028133392</v>
      </c>
      <c r="D8" s="1">
        <v>0.69330000877380404</v>
      </c>
      <c r="E8" s="1">
        <v>0.36120000481605502</v>
      </c>
      <c r="F8" s="1">
        <v>0.38299998641014099</v>
      </c>
      <c r="G8" s="1">
        <v>0.38560000061988797</v>
      </c>
      <c r="H8" s="1">
        <v>0.41999998688697798</v>
      </c>
      <c r="I8" s="1">
        <v>0.38010001182556202</v>
      </c>
      <c r="J8" s="1">
        <v>0.38690000772476202</v>
      </c>
      <c r="K8" s="1">
        <v>0.400700002908707</v>
      </c>
      <c r="L8" s="1">
        <v>0.42429998517036399</v>
      </c>
      <c r="M8" s="1">
        <v>0.39590001106262201</v>
      </c>
      <c r="N8" s="1"/>
      <c r="O8" s="6" t="s">
        <v>7</v>
      </c>
      <c r="P8" s="1">
        <v>0.456499993801117</v>
      </c>
      <c r="Q8" s="1">
        <v>0.39379999041557301</v>
      </c>
      <c r="R8" s="1">
        <v>0.41819998621940602</v>
      </c>
      <c r="S8" s="1">
        <v>0.42100000381469699</v>
      </c>
    </row>
    <row r="9" spans="1:19" x14ac:dyDescent="0.25">
      <c r="A9" s="5" t="s">
        <v>8</v>
      </c>
      <c r="B9" s="1">
        <v>0.72829997539520297</v>
      </c>
      <c r="C9" s="1">
        <v>0.705299973487854</v>
      </c>
      <c r="D9" s="1">
        <v>0.70690000057220503</v>
      </c>
      <c r="E9" s="1">
        <v>0.37889999151229897</v>
      </c>
      <c r="F9" s="1">
        <v>0.37729999423027</v>
      </c>
      <c r="G9" s="1">
        <v>0.37200000882148698</v>
      </c>
      <c r="H9" s="1">
        <v>0.41490000486373901</v>
      </c>
      <c r="I9" s="1">
        <v>0.39939999580383301</v>
      </c>
      <c r="J9" s="1">
        <v>0.40000000596046398</v>
      </c>
      <c r="K9" s="1">
        <v>0.42329999804496798</v>
      </c>
      <c r="L9" s="1">
        <v>0.43799999356269798</v>
      </c>
      <c r="M9" s="1">
        <v>0.36849999427795399</v>
      </c>
      <c r="N9" s="1"/>
      <c r="O9" s="6" t="s">
        <v>8</v>
      </c>
      <c r="P9" s="1">
        <v>0.49309998750686601</v>
      </c>
      <c r="Q9" s="1">
        <v>0.43140000104904203</v>
      </c>
      <c r="R9" s="1">
        <v>0.43259999155998202</v>
      </c>
      <c r="S9" s="1">
        <v>0.44990000128745999</v>
      </c>
    </row>
    <row r="10" spans="1:19" x14ac:dyDescent="0.25">
      <c r="B10" s="1"/>
      <c r="C10" s="1"/>
      <c r="D10" s="1"/>
    </row>
    <row r="11" spans="1:19" x14ac:dyDescent="0.25">
      <c r="A11" s="5" t="s">
        <v>0</v>
      </c>
      <c r="B11" s="5">
        <v>1</v>
      </c>
      <c r="C11" s="5">
        <v>2</v>
      </c>
      <c r="D11" s="5">
        <v>3</v>
      </c>
      <c r="E11" s="5">
        <v>4</v>
      </c>
      <c r="F11" s="5">
        <v>5</v>
      </c>
      <c r="G11" s="5">
        <v>6</v>
      </c>
      <c r="H11" s="5">
        <v>7</v>
      </c>
      <c r="I11" s="5">
        <v>8</v>
      </c>
      <c r="J11" s="5">
        <v>9</v>
      </c>
      <c r="K11" s="5">
        <v>10</v>
      </c>
      <c r="L11" s="5">
        <v>11</v>
      </c>
      <c r="M11" s="5">
        <v>12</v>
      </c>
      <c r="O11" s="6" t="s">
        <v>0</v>
      </c>
      <c r="P11" s="6">
        <v>1</v>
      </c>
      <c r="Q11" s="6">
        <v>2</v>
      </c>
      <c r="R11" s="6">
        <v>3</v>
      </c>
      <c r="S11" s="6">
        <v>4</v>
      </c>
    </row>
    <row r="12" spans="1:19" x14ac:dyDescent="0.25">
      <c r="A12" s="5" t="s">
        <v>1</v>
      </c>
      <c r="B12" s="1">
        <v>5.5500000715255703E-2</v>
      </c>
      <c r="C12" s="1">
        <v>5.9500001370906802E-2</v>
      </c>
      <c r="D12" s="1">
        <v>6.4499996602535206E-2</v>
      </c>
      <c r="E12" s="1">
        <f>E2+0.18</f>
        <v>0.47629999399185202</v>
      </c>
      <c r="F12" s="1">
        <f t="shared" ref="F12:K12" si="0">F2+0.15</f>
        <v>0.474200004339218</v>
      </c>
      <c r="G12" s="1">
        <f t="shared" si="0"/>
        <v>0.47780000567436198</v>
      </c>
      <c r="H12" s="1">
        <f t="shared" si="0"/>
        <v>0.51010000109672504</v>
      </c>
      <c r="I12" s="1">
        <f t="shared" si="0"/>
        <v>0.45919998884201102</v>
      </c>
      <c r="J12" s="1">
        <f t="shared" si="0"/>
        <v>0.473000013828278</v>
      </c>
      <c r="K12" s="1">
        <f t="shared" si="0"/>
        <v>0.51359998583793598</v>
      </c>
      <c r="L12" s="1">
        <f>L2+0.13</f>
        <v>0.52739999175071695</v>
      </c>
      <c r="M12" s="1">
        <f>M2+0.15</f>
        <v>0.45270001292228701</v>
      </c>
      <c r="O12" s="6" t="s">
        <v>1</v>
      </c>
      <c r="P12" s="1">
        <v>7.0200003683567005E-2</v>
      </c>
      <c r="Q12" s="1">
        <v>7.0299997925758403E-2</v>
      </c>
      <c r="R12" s="1">
        <v>7.1699999272823306E-2</v>
      </c>
      <c r="S12" s="1">
        <v>6.6500000655651106E-2</v>
      </c>
    </row>
    <row r="13" spans="1:19" x14ac:dyDescent="0.25">
      <c r="A13" s="5" t="s">
        <v>2</v>
      </c>
      <c r="B13" s="1">
        <v>7.1500003337860094E-2</v>
      </c>
      <c r="C13" s="1">
        <v>7.5000002980232197E-2</v>
      </c>
      <c r="D13" s="1">
        <v>7.69999995827675E-2</v>
      </c>
      <c r="E13" s="1">
        <f t="shared" ref="E13:G13" si="1">E3+0.15</f>
        <v>0.54520001411438002</v>
      </c>
      <c r="F13" s="1">
        <f t="shared" si="1"/>
        <v>0.54989998936653095</v>
      </c>
      <c r="G13" s="1">
        <f t="shared" si="1"/>
        <v>0.557799988985062</v>
      </c>
      <c r="H13" s="1">
        <f>H3+0.1</f>
        <v>0.53740001320838904</v>
      </c>
      <c r="I13" s="1">
        <f t="shared" ref="I13:I19" si="2">I3+0.15</f>
        <v>0.550099992752075</v>
      </c>
      <c r="J13" s="1">
        <f t="shared" ref="J13:J19" si="3">J3+0.15</f>
        <v>0.56429999470710801</v>
      </c>
      <c r="K13" s="1">
        <f t="shared" ref="K13:K19" si="4">K3+0.11</f>
        <v>0.54520000576973005</v>
      </c>
      <c r="L13" s="1">
        <f t="shared" ref="L13:L19" si="5">L3+0.11</f>
        <v>0.53879998683929398</v>
      </c>
      <c r="M13" s="1">
        <f t="shared" ref="M13:M19" si="6">M3+0.1</f>
        <v>0.49259999990463299</v>
      </c>
      <c r="O13" s="6" t="s">
        <v>2</v>
      </c>
      <c r="P13" s="1">
        <v>8.2599997520446805E-2</v>
      </c>
      <c r="Q13" s="1">
        <v>8.8200002908706707E-2</v>
      </c>
      <c r="R13" s="1">
        <v>8.5699997842311901E-2</v>
      </c>
      <c r="S13" s="1">
        <v>6.7800000309944194E-2</v>
      </c>
    </row>
    <row r="14" spans="1:19" x14ac:dyDescent="0.25">
      <c r="A14" s="5" t="s">
        <v>3</v>
      </c>
      <c r="B14" s="1">
        <v>4.7800000756979003E-2</v>
      </c>
      <c r="C14" s="1">
        <v>6.2300000339746503E-2</v>
      </c>
      <c r="D14" s="1">
        <v>6.68999999761581E-2</v>
      </c>
      <c r="E14" s="1">
        <f t="shared" ref="E14:G14" si="7">E4+0.15</f>
        <v>0.47940000295639001</v>
      </c>
      <c r="F14" s="1">
        <f t="shared" si="7"/>
        <v>0.50150000452995303</v>
      </c>
      <c r="G14" s="1">
        <f t="shared" si="7"/>
        <v>0.50109999775886505</v>
      </c>
      <c r="H14" s="1">
        <f>H4+0.1</f>
        <v>0.49669999480247501</v>
      </c>
      <c r="I14" s="1">
        <f t="shared" si="2"/>
        <v>0.50539999604225205</v>
      </c>
      <c r="J14" s="1">
        <f t="shared" si="3"/>
        <v>0.50040000081062297</v>
      </c>
      <c r="K14" s="1">
        <f t="shared" si="4"/>
        <v>0.47620000004768398</v>
      </c>
      <c r="L14" s="1">
        <f t="shared" si="5"/>
        <v>0.50989998936653103</v>
      </c>
      <c r="M14" s="1">
        <f t="shared" si="6"/>
        <v>0.47149998545646699</v>
      </c>
      <c r="O14" s="6" t="s">
        <v>3</v>
      </c>
      <c r="P14" s="1">
        <v>6.7800000309944194E-2</v>
      </c>
      <c r="Q14" s="1">
        <v>7.5000002980232197E-2</v>
      </c>
      <c r="R14" s="1">
        <v>7.4500001966953305E-2</v>
      </c>
      <c r="S14" s="1">
        <v>7.3499999940395397E-2</v>
      </c>
    </row>
    <row r="15" spans="1:19" x14ac:dyDescent="0.25">
      <c r="A15" s="5" t="s">
        <v>4</v>
      </c>
      <c r="B15" s="1">
        <v>7.1900002658367199E-2</v>
      </c>
      <c r="C15" s="1">
        <v>7.8800000250339494E-2</v>
      </c>
      <c r="D15" s="1">
        <v>8.2299999892711598E-2</v>
      </c>
      <c r="E15" s="1">
        <f t="shared" ref="E15:G15" si="8">E5+0.15</f>
        <v>0.54340001344680799</v>
      </c>
      <c r="F15" s="1">
        <f t="shared" si="8"/>
        <v>0.56819998621940604</v>
      </c>
      <c r="G15" s="1">
        <f t="shared" si="8"/>
        <v>0.56729998588562003</v>
      </c>
      <c r="H15" s="1">
        <f>H5+0.09</f>
        <v>0.53690001010894794</v>
      </c>
      <c r="I15" s="1">
        <f t="shared" si="2"/>
        <v>0.55160000324249303</v>
      </c>
      <c r="J15" s="1">
        <f t="shared" si="3"/>
        <v>0.571200007200241</v>
      </c>
      <c r="K15" s="1">
        <f t="shared" si="4"/>
        <v>0.56190000534057605</v>
      </c>
      <c r="L15" s="1">
        <f t="shared" si="5"/>
        <v>0.56939999818801901</v>
      </c>
      <c r="M15" s="1">
        <f t="shared" si="6"/>
        <v>0.50990000963211102</v>
      </c>
      <c r="O15" s="6" t="s">
        <v>4</v>
      </c>
      <c r="P15" s="1">
        <v>8.2900002598762498E-2</v>
      </c>
      <c r="Q15" s="1">
        <v>9.1099999845027896E-2</v>
      </c>
      <c r="R15" s="1">
        <v>8.7399996817111997E-2</v>
      </c>
      <c r="S15" s="1">
        <v>6.9399997591972407E-2</v>
      </c>
    </row>
    <row r="16" spans="1:19" x14ac:dyDescent="0.25">
      <c r="A16" s="5" t="s">
        <v>5</v>
      </c>
      <c r="B16" s="1">
        <v>5.2799999713897698E-2</v>
      </c>
      <c r="C16" s="1">
        <v>6.1299998313188601E-2</v>
      </c>
      <c r="D16" s="1">
        <v>6.8800002336502103E-2</v>
      </c>
      <c r="E16" s="1">
        <f t="shared" ref="E16:G16" si="9">E6+0.15</f>
        <v>0.45300000309944199</v>
      </c>
      <c r="F16" s="1">
        <f t="shared" si="9"/>
        <v>0.46439998745918298</v>
      </c>
      <c r="G16" s="1">
        <f t="shared" si="9"/>
        <v>0.48370000123977702</v>
      </c>
      <c r="H16" s="1">
        <f t="shared" ref="H16:H19" si="10">H6+0.14</f>
        <v>0.52879999518394505</v>
      </c>
      <c r="I16" s="1">
        <f t="shared" si="2"/>
        <v>0.497499996423721</v>
      </c>
      <c r="J16" s="1">
        <f>J6+0.14</f>
        <v>0.51500000000000001</v>
      </c>
      <c r="K16" s="1">
        <f t="shared" si="4"/>
        <v>0.50120000600814796</v>
      </c>
      <c r="L16" s="1">
        <f t="shared" si="5"/>
        <v>0.52800001263618501</v>
      </c>
      <c r="M16" s="1">
        <f t="shared" si="6"/>
        <v>0.47540000677108801</v>
      </c>
      <c r="O16" s="6" t="s">
        <v>5</v>
      </c>
      <c r="P16" s="1">
        <v>6.3199996948242201E-2</v>
      </c>
      <c r="Q16" s="1">
        <v>7.1599997580051394E-2</v>
      </c>
      <c r="R16" s="1">
        <v>7.7699996531009702E-2</v>
      </c>
      <c r="S16" s="1">
        <v>7.6300002634525299E-2</v>
      </c>
    </row>
    <row r="17" spans="1:19" x14ac:dyDescent="0.25">
      <c r="A17" s="5" t="s">
        <v>6</v>
      </c>
      <c r="B17" s="1">
        <v>7.9499997198581696E-2</v>
      </c>
      <c r="C17" s="1">
        <v>7.8500002622604398E-2</v>
      </c>
      <c r="D17" s="1">
        <v>8.4100000560283703E-2</v>
      </c>
      <c r="E17" s="1">
        <f>E7+0.15</f>
        <v>0.49509998559951801</v>
      </c>
      <c r="F17" s="1">
        <f>F7+0.16</f>
        <v>0.50950000047683697</v>
      </c>
      <c r="G17" s="1">
        <f>G7+0.15</f>
        <v>0.51039999127388003</v>
      </c>
      <c r="H17" s="1">
        <f t="shared" si="10"/>
        <v>0.528599991798401</v>
      </c>
      <c r="I17" s="1">
        <f t="shared" si="2"/>
        <v>0.519800001382828</v>
      </c>
      <c r="J17" s="1">
        <f t="shared" si="3"/>
        <v>0.52549999356269805</v>
      </c>
      <c r="K17" s="1">
        <f t="shared" si="4"/>
        <v>0.50269998669624305</v>
      </c>
      <c r="L17" s="1">
        <f t="shared" si="5"/>
        <v>0.53849999666213999</v>
      </c>
      <c r="M17" s="1">
        <f t="shared" si="6"/>
        <v>0.46090001463890101</v>
      </c>
      <c r="O17" s="6" t="s">
        <v>6</v>
      </c>
      <c r="P17" s="1">
        <v>8.2500003278255504E-2</v>
      </c>
      <c r="Q17" s="1">
        <v>8.7099999189376803E-2</v>
      </c>
      <c r="R17" s="1">
        <v>8.7600000202655806E-2</v>
      </c>
      <c r="S17" s="1">
        <v>7.1099996566772503E-2</v>
      </c>
    </row>
    <row r="18" spans="1:19" x14ac:dyDescent="0.25">
      <c r="A18" s="5" t="s">
        <v>7</v>
      </c>
      <c r="B18" s="1">
        <v>5.3599998354911797E-2</v>
      </c>
      <c r="C18" s="1">
        <v>6.2899999320506994E-2</v>
      </c>
      <c r="D18" s="1">
        <v>6.6399998962879195E-2</v>
      </c>
      <c r="E18" s="1">
        <f t="shared" ref="E18:G18" si="11">E8+0.15</f>
        <v>0.51120000481605499</v>
      </c>
      <c r="F18" s="1">
        <f t="shared" si="11"/>
        <v>0.53299998641014101</v>
      </c>
      <c r="G18" s="1">
        <f t="shared" si="11"/>
        <v>0.53560000061988799</v>
      </c>
      <c r="H18" s="1">
        <f t="shared" si="10"/>
        <v>0.55999998688697805</v>
      </c>
      <c r="I18" s="1">
        <f t="shared" si="2"/>
        <v>0.53010001182556199</v>
      </c>
      <c r="J18" s="1">
        <f t="shared" si="3"/>
        <v>0.53690000772476199</v>
      </c>
      <c r="K18" s="1">
        <f t="shared" si="4"/>
        <v>0.51070000290870698</v>
      </c>
      <c r="L18" s="1">
        <f t="shared" si="5"/>
        <v>0.53429998517036403</v>
      </c>
      <c r="M18" s="1">
        <f t="shared" si="6"/>
        <v>0.49590001106262199</v>
      </c>
      <c r="O18" s="6" t="s">
        <v>7</v>
      </c>
      <c r="P18" s="1">
        <v>6.6299997270107297E-2</v>
      </c>
      <c r="Q18" s="1">
        <v>7.0299997925758403E-2</v>
      </c>
      <c r="R18" s="1">
        <v>7.3200002312660203E-2</v>
      </c>
      <c r="S18" s="1">
        <v>7.4600003659725203E-2</v>
      </c>
    </row>
    <row r="19" spans="1:19" x14ac:dyDescent="0.25">
      <c r="A19" s="5" t="s">
        <v>8</v>
      </c>
      <c r="B19" s="1">
        <v>8.1900000572204604E-2</v>
      </c>
      <c r="C19" s="1">
        <v>8.35999995470047E-2</v>
      </c>
      <c r="D19" s="1">
        <v>8.9199997484684004E-2</v>
      </c>
      <c r="E19" s="1">
        <f t="shared" ref="E19:G19" si="12">E9+0.15</f>
        <v>0.52889999151229905</v>
      </c>
      <c r="F19" s="1">
        <f t="shared" si="12"/>
        <v>0.52729999423026996</v>
      </c>
      <c r="G19" s="1">
        <f t="shared" si="12"/>
        <v>0.522000008821487</v>
      </c>
      <c r="H19" s="1">
        <f t="shared" si="10"/>
        <v>0.55490000486373903</v>
      </c>
      <c r="I19" s="1">
        <f t="shared" si="2"/>
        <v>0.54939999580383303</v>
      </c>
      <c r="J19" s="1">
        <f t="shared" si="3"/>
        <v>0.55000000596046394</v>
      </c>
      <c r="K19" s="1">
        <f t="shared" si="4"/>
        <v>0.53329999804496797</v>
      </c>
      <c r="L19" s="1">
        <f t="shared" si="5"/>
        <v>0.54799999356269802</v>
      </c>
      <c r="M19" s="1">
        <f t="shared" si="6"/>
        <v>0.46849999427795402</v>
      </c>
      <c r="O19" s="6" t="s">
        <v>8</v>
      </c>
      <c r="P19" s="1">
        <v>7.6499998569488498E-2</v>
      </c>
      <c r="Q19" s="1">
        <v>8.2400001585483607E-2</v>
      </c>
      <c r="R19" s="1">
        <v>8.21999981999397E-2</v>
      </c>
      <c r="S19" s="1">
        <v>7.6600000262260395E-2</v>
      </c>
    </row>
  </sheetData>
  <phoneticPr fontId="7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9"/>
  <sheetViews>
    <sheetView zoomScale="67" zoomScaleNormal="67" workbookViewId="0">
      <selection activeCell="B10" sqref="B10:D16"/>
    </sheetView>
  </sheetViews>
  <sheetFormatPr defaultColWidth="9" defaultRowHeight="14.4" x14ac:dyDescent="0.25"/>
  <cols>
    <col min="2" max="6" width="12.77734375" style="1"/>
    <col min="7" max="16384" width="9" style="1"/>
  </cols>
  <sheetData>
    <row r="1" spans="1:4" x14ac:dyDescent="0.25">
      <c r="A1" t="s">
        <v>9</v>
      </c>
    </row>
    <row r="2" spans="1:4" x14ac:dyDescent="0.25">
      <c r="A2">
        <v>64</v>
      </c>
      <c r="B2" s="1">
        <v>0.18880000710487399</v>
      </c>
      <c r="C2" s="1">
        <v>0.18739999830722801</v>
      </c>
      <c r="D2" s="1">
        <v>0.18739999830722801</v>
      </c>
    </row>
    <row r="3" spans="1:4" x14ac:dyDescent="0.25">
      <c r="A3">
        <v>16</v>
      </c>
      <c r="B3" s="1">
        <v>0.29859998822212203</v>
      </c>
      <c r="C3" s="1">
        <v>0.30739998817443798</v>
      </c>
      <c r="D3" s="1">
        <v>0.30410000681877097</v>
      </c>
    </row>
    <row r="4" spans="1:4" x14ac:dyDescent="0.25">
      <c r="A4">
        <v>8</v>
      </c>
      <c r="B4" s="1">
        <v>0.31479999423027</v>
      </c>
      <c r="C4" s="1">
        <v>0.33390000462531999</v>
      </c>
      <c r="D4" s="1">
        <v>0.34520001173019399</v>
      </c>
    </row>
    <row r="5" spans="1:4" x14ac:dyDescent="0.25">
      <c r="A5">
        <v>4</v>
      </c>
      <c r="B5" s="1">
        <v>0.45950001478195202</v>
      </c>
      <c r="C5" s="1">
        <v>0.45239998936653097</v>
      </c>
      <c r="D5" s="1">
        <v>0.45710000395774802</v>
      </c>
    </row>
    <row r="6" spans="1:4" x14ac:dyDescent="0.25">
      <c r="A6">
        <v>1</v>
      </c>
      <c r="B6" s="1">
        <v>0.52939999699592599</v>
      </c>
      <c r="C6" s="1">
        <v>0.53349999189376796</v>
      </c>
      <c r="D6" s="1">
        <v>0.48500001430511502</v>
      </c>
    </row>
    <row r="7" spans="1:4" x14ac:dyDescent="0.25">
      <c r="A7">
        <v>0</v>
      </c>
      <c r="B7" s="1">
        <v>0.56150001287460305</v>
      </c>
      <c r="C7" s="1">
        <v>0.52890002727508501</v>
      </c>
      <c r="D7" s="1">
        <v>0.53860002756118797</v>
      </c>
    </row>
    <row r="9" spans="1:4" x14ac:dyDescent="0.25">
      <c r="A9" t="s">
        <v>10</v>
      </c>
    </row>
    <row r="10" spans="1:4" x14ac:dyDescent="0.25">
      <c r="A10">
        <v>64</v>
      </c>
      <c r="B10" s="1">
        <v>5.5500000715255703E-2</v>
      </c>
      <c r="C10" s="1">
        <v>5.9500001370906802E-2</v>
      </c>
      <c r="D10" s="1">
        <v>6.4499996602535206E-2</v>
      </c>
    </row>
    <row r="11" spans="1:4" x14ac:dyDescent="0.25">
      <c r="A11">
        <v>16</v>
      </c>
      <c r="B11" s="1">
        <v>7.1500003337860094E-2</v>
      </c>
      <c r="C11" s="1">
        <v>7.5000002980232197E-2</v>
      </c>
      <c r="D11" s="1">
        <v>7.69999995827675E-2</v>
      </c>
    </row>
    <row r="12" spans="1:4" x14ac:dyDescent="0.25">
      <c r="A12">
        <v>8</v>
      </c>
      <c r="B12" s="1">
        <v>4.7800000756979003E-2</v>
      </c>
      <c r="C12" s="1">
        <v>6.2300000339746503E-2</v>
      </c>
      <c r="D12" s="1">
        <v>6.68999999761581E-2</v>
      </c>
    </row>
    <row r="13" spans="1:4" x14ac:dyDescent="0.25">
      <c r="A13">
        <v>4</v>
      </c>
      <c r="B13" s="1">
        <v>7.1900002658367199E-2</v>
      </c>
      <c r="C13" s="1">
        <v>7.8800000250339494E-2</v>
      </c>
      <c r="D13" s="1">
        <v>8.2299999892711598E-2</v>
      </c>
    </row>
    <row r="14" spans="1:4" x14ac:dyDescent="0.25">
      <c r="A14">
        <v>1</v>
      </c>
      <c r="B14" s="1">
        <v>5.2799999713897698E-2</v>
      </c>
      <c r="C14" s="1">
        <v>6.1299998313188601E-2</v>
      </c>
      <c r="D14" s="1">
        <v>6.8800002336502103E-2</v>
      </c>
    </row>
    <row r="15" spans="1:4" x14ac:dyDescent="0.25">
      <c r="A15">
        <v>0</v>
      </c>
      <c r="B15" s="1">
        <v>7.9499997198581696E-2</v>
      </c>
      <c r="C15" s="1">
        <v>7.8500002622604398E-2</v>
      </c>
      <c r="D15" s="1">
        <v>8.4100000560283703E-2</v>
      </c>
    </row>
    <row r="17" spans="1:6" x14ac:dyDescent="0.25">
      <c r="A17" t="s">
        <v>11</v>
      </c>
      <c r="E17" s="1" t="s">
        <v>12</v>
      </c>
    </row>
    <row r="18" spans="1:6" x14ac:dyDescent="0.25">
      <c r="A18">
        <v>64</v>
      </c>
      <c r="B18" s="1">
        <f t="shared" ref="B18:B23" si="0">B2-B10</f>
        <v>0.133300006389618</v>
      </c>
      <c r="C18" s="1">
        <f t="shared" ref="C18:C23" si="1">C2-C10</f>
        <v>0.12789999693632101</v>
      </c>
      <c r="D18" s="1">
        <f t="shared" ref="D18:D23" si="2">D2-D10</f>
        <v>0.12290000170469299</v>
      </c>
      <c r="E18" s="1">
        <f t="shared" ref="E18:E23" si="3">AVERAGE(B18:D18)</f>
        <v>0.128033335010211</v>
      </c>
    </row>
    <row r="19" spans="1:6" x14ac:dyDescent="0.25">
      <c r="A19">
        <v>16</v>
      </c>
      <c r="B19" s="1">
        <f t="shared" si="0"/>
        <v>0.227099984884262</v>
      </c>
      <c r="C19" s="1">
        <f t="shared" si="1"/>
        <v>0.23239998519420599</v>
      </c>
      <c r="D19" s="1">
        <f t="shared" si="2"/>
        <v>0.22710000723600399</v>
      </c>
      <c r="E19" s="1">
        <f t="shared" si="3"/>
        <v>0.22886665910482401</v>
      </c>
    </row>
    <row r="20" spans="1:6" x14ac:dyDescent="0.25">
      <c r="A20">
        <v>8</v>
      </c>
      <c r="B20" s="1">
        <f t="shared" si="0"/>
        <v>0.26699999347329101</v>
      </c>
      <c r="C20" s="1">
        <f t="shared" si="1"/>
        <v>0.27160000428557401</v>
      </c>
      <c r="D20" s="1">
        <f t="shared" si="2"/>
        <v>0.27830001175403601</v>
      </c>
      <c r="E20" s="1">
        <f t="shared" si="3"/>
        <v>0.27230000317096698</v>
      </c>
    </row>
    <row r="21" spans="1:6" x14ac:dyDescent="0.25">
      <c r="A21">
        <v>4</v>
      </c>
      <c r="B21" s="1">
        <f t="shared" si="0"/>
        <v>0.38760001212358502</v>
      </c>
      <c r="C21" s="1">
        <f t="shared" si="1"/>
        <v>0.37359998911619102</v>
      </c>
      <c r="D21" s="1">
        <f t="shared" si="2"/>
        <v>0.374800004065037</v>
      </c>
      <c r="E21" s="1">
        <f t="shared" si="3"/>
        <v>0.37866666843493801</v>
      </c>
    </row>
    <row r="22" spans="1:6" x14ac:dyDescent="0.25">
      <c r="A22">
        <v>1</v>
      </c>
      <c r="B22" s="1">
        <f t="shared" si="0"/>
        <v>0.47659999728202801</v>
      </c>
      <c r="C22" s="1">
        <f t="shared" si="1"/>
        <v>0.47219999358057901</v>
      </c>
      <c r="D22" s="1">
        <f t="shared" si="2"/>
        <v>0.416200011968613</v>
      </c>
      <c r="E22" s="1">
        <f t="shared" si="3"/>
        <v>0.45500000094373999</v>
      </c>
    </row>
    <row r="23" spans="1:6" x14ac:dyDescent="0.25">
      <c r="A23">
        <v>0</v>
      </c>
      <c r="B23" s="1">
        <f t="shared" si="0"/>
        <v>0.48200001567602202</v>
      </c>
      <c r="C23" s="1">
        <f t="shared" si="1"/>
        <v>0.45040002465248102</v>
      </c>
      <c r="D23" s="1">
        <f t="shared" si="2"/>
        <v>0.45450002700090403</v>
      </c>
      <c r="E23" s="1">
        <f t="shared" si="3"/>
        <v>0.46230002244313601</v>
      </c>
      <c r="F23" s="1">
        <v>0.46230002244313601</v>
      </c>
    </row>
    <row r="26" spans="1:6" x14ac:dyDescent="0.25">
      <c r="A26" t="s">
        <v>13</v>
      </c>
      <c r="E26" s="1" t="s">
        <v>12</v>
      </c>
    </row>
    <row r="27" spans="1:6" x14ac:dyDescent="0.25">
      <c r="A27">
        <v>64</v>
      </c>
      <c r="B27" s="1">
        <f t="shared" ref="B27:B32" si="4">B18/0.462300022443136</f>
        <v>0.28834090399814799</v>
      </c>
      <c r="C27" s="1">
        <f t="shared" ref="C27:C32" si="5">C18/0.462300022443136</f>
        <v>0.276660157316028</v>
      </c>
      <c r="D27" s="1">
        <f t="shared" ref="D27:D32" si="6">D18/0.462300022443136</f>
        <v>0.26584468037703801</v>
      </c>
      <c r="E27" s="1">
        <f t="shared" ref="E27:E32" si="7">AVERAGE(B27:D27)</f>
        <v>0.276948580563738</v>
      </c>
    </row>
    <row r="28" spans="1:6" x14ac:dyDescent="0.25">
      <c r="A28">
        <v>16</v>
      </c>
      <c r="B28" s="1">
        <f t="shared" si="4"/>
        <v>0.49123939835455199</v>
      </c>
      <c r="C28" s="1">
        <f t="shared" si="5"/>
        <v>0.50270381551364096</v>
      </c>
      <c r="D28" s="1">
        <f t="shared" si="6"/>
        <v>0.49123944670354802</v>
      </c>
      <c r="E28" s="1">
        <f t="shared" si="7"/>
        <v>0.49506088685724697</v>
      </c>
    </row>
    <row r="29" spans="1:6" x14ac:dyDescent="0.25">
      <c r="A29">
        <v>8</v>
      </c>
      <c r="B29" s="1">
        <f t="shared" si="4"/>
        <v>0.57754700521593205</v>
      </c>
      <c r="C29" s="1">
        <f t="shared" si="5"/>
        <v>0.58749727687711994</v>
      </c>
      <c r="D29" s="1">
        <f t="shared" si="6"/>
        <v>0.60199004595174399</v>
      </c>
      <c r="E29" s="1">
        <f t="shared" si="7"/>
        <v>0.589011442681599</v>
      </c>
    </row>
    <row r="30" spans="1:6" x14ac:dyDescent="0.25">
      <c r="A30">
        <v>4</v>
      </c>
      <c r="B30" s="1">
        <f t="shared" si="4"/>
        <v>0.83841659811137104</v>
      </c>
      <c r="C30" s="1">
        <f t="shared" si="5"/>
        <v>0.80813318403449796</v>
      </c>
      <c r="D30" s="1">
        <f t="shared" si="6"/>
        <v>0.81072893331113405</v>
      </c>
      <c r="E30" s="1">
        <f t="shared" si="7"/>
        <v>0.81909290515233402</v>
      </c>
    </row>
    <row r="31" spans="1:6" x14ac:dyDescent="0.25">
      <c r="A31">
        <v>1</v>
      </c>
      <c r="B31" s="1">
        <f t="shared" si="4"/>
        <v>1.03093223911892</v>
      </c>
      <c r="C31" s="1">
        <f t="shared" si="5"/>
        <v>1.02141460232929</v>
      </c>
      <c r="D31" s="1">
        <f t="shared" si="6"/>
        <v>0.90028118486584396</v>
      </c>
      <c r="E31" s="1">
        <f t="shared" si="7"/>
        <v>0.98420934210468503</v>
      </c>
    </row>
    <row r="32" spans="1:6" x14ac:dyDescent="0.25">
      <c r="A32">
        <v>0</v>
      </c>
      <c r="B32" s="1">
        <f t="shared" si="4"/>
        <v>1.0426130051406399</v>
      </c>
      <c r="C32" s="1">
        <f t="shared" si="5"/>
        <v>0.974259145115835</v>
      </c>
      <c r="D32" s="1">
        <f t="shared" si="6"/>
        <v>0.98312784974352596</v>
      </c>
      <c r="E32" s="1">
        <f t="shared" si="7"/>
        <v>0.999999999999999</v>
      </c>
    </row>
    <row r="34" spans="1:3" x14ac:dyDescent="0.25">
      <c r="A34" t="s">
        <v>14</v>
      </c>
    </row>
    <row r="35" spans="1:3" x14ac:dyDescent="0.25">
      <c r="A35">
        <v>1</v>
      </c>
      <c r="B35">
        <f t="shared" ref="B35:B39" si="8">LOG(A35)</f>
        <v>0</v>
      </c>
      <c r="C35" s="1">
        <v>1.03093223911892</v>
      </c>
    </row>
    <row r="36" spans="1:3" x14ac:dyDescent="0.25">
      <c r="A36">
        <v>4</v>
      </c>
      <c r="B36">
        <f t="shared" si="8"/>
        <v>0.60205999132796195</v>
      </c>
      <c r="C36" s="1">
        <v>0.80813318403449796</v>
      </c>
    </row>
    <row r="37" spans="1:3" x14ac:dyDescent="0.25">
      <c r="A37">
        <v>8</v>
      </c>
      <c r="B37">
        <f t="shared" si="8"/>
        <v>0.90308998699194398</v>
      </c>
      <c r="C37" s="1">
        <v>0.60199004595174399</v>
      </c>
    </row>
    <row r="38" spans="1:3" x14ac:dyDescent="0.25">
      <c r="A38">
        <v>16</v>
      </c>
      <c r="B38">
        <f t="shared" si="8"/>
        <v>1.2041199826559199</v>
      </c>
      <c r="C38" s="1">
        <v>0.50270381551364096</v>
      </c>
    </row>
    <row r="39" spans="1:3" x14ac:dyDescent="0.25">
      <c r="A39">
        <v>64</v>
      </c>
      <c r="B39">
        <f t="shared" si="8"/>
        <v>1.80617997398389</v>
      </c>
      <c r="C39" s="1">
        <v>0.26584468037703801</v>
      </c>
    </row>
  </sheetData>
  <phoneticPr fontId="7" type="noConversion"/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N60"/>
  <sheetViews>
    <sheetView zoomScale="70" zoomScaleNormal="70" workbookViewId="0">
      <selection sqref="A1:XFD1048576"/>
    </sheetView>
  </sheetViews>
  <sheetFormatPr defaultColWidth="8.77734375" defaultRowHeight="14.4" x14ac:dyDescent="0.25"/>
  <cols>
    <col min="1" max="1" width="8.77734375" style="1"/>
    <col min="2" max="14" width="12.77734375" style="1"/>
    <col min="15" max="16384" width="8.77734375" style="1"/>
  </cols>
  <sheetData>
    <row r="2" spans="1:14" x14ac:dyDescent="0.25">
      <c r="A2" s="1" t="s">
        <v>9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1" t="s">
        <v>20</v>
      </c>
      <c r="H2" s="1" t="s">
        <v>21</v>
      </c>
      <c r="I2" s="1" t="s">
        <v>22</v>
      </c>
      <c r="J2" s="1" t="s">
        <v>23</v>
      </c>
      <c r="K2" s="1" t="s">
        <v>24</v>
      </c>
      <c r="L2" s="1" t="s">
        <v>25</v>
      </c>
      <c r="M2" s="1" t="s">
        <v>22</v>
      </c>
      <c r="N2" s="1" t="s">
        <v>23</v>
      </c>
    </row>
    <row r="3" spans="1:14" x14ac:dyDescent="0.25">
      <c r="B3" s="1">
        <v>0.45120000839233398</v>
      </c>
      <c r="C3" s="1">
        <v>0.44920000433921797</v>
      </c>
      <c r="D3" s="1">
        <v>0.449699997901917</v>
      </c>
      <c r="E3" s="1">
        <v>0.47629999399185202</v>
      </c>
      <c r="F3" s="1">
        <v>0.474200004339218</v>
      </c>
      <c r="G3" s="1">
        <v>0.47780000567436198</v>
      </c>
      <c r="H3" s="1">
        <v>0.51010000109672504</v>
      </c>
      <c r="I3" s="1">
        <v>0.45919998884201102</v>
      </c>
      <c r="J3" s="1">
        <v>0.473000013828278</v>
      </c>
      <c r="K3" s="1">
        <v>0.51359998583793598</v>
      </c>
      <c r="L3" s="1">
        <v>0.52739999175071695</v>
      </c>
      <c r="M3" s="1">
        <v>0.45270001292228701</v>
      </c>
      <c r="N3" s="1">
        <v>0.49430000782012901</v>
      </c>
    </row>
    <row r="4" spans="1:14" x14ac:dyDescent="0.25">
      <c r="B4" s="1">
        <v>0.470999985933304</v>
      </c>
      <c r="C4" s="1">
        <v>0.47189998626709001</v>
      </c>
      <c r="D4" s="1">
        <v>0.46020001173019398</v>
      </c>
      <c r="E4" s="1">
        <v>0.54520001411438002</v>
      </c>
      <c r="F4" s="1">
        <v>0.54989998936653095</v>
      </c>
      <c r="G4" s="1">
        <v>0.557799988985062</v>
      </c>
      <c r="H4" s="1">
        <v>0.53740001320838904</v>
      </c>
      <c r="I4" s="1">
        <v>0.550099992752075</v>
      </c>
      <c r="J4" s="1">
        <v>0.56429999470710801</v>
      </c>
      <c r="K4" s="1">
        <v>0.54520000576973005</v>
      </c>
      <c r="L4" s="1">
        <v>0.53879998683929398</v>
      </c>
      <c r="M4" s="1">
        <v>0.49259999990463299</v>
      </c>
      <c r="N4" s="1">
        <v>0.51859998703002896</v>
      </c>
    </row>
    <row r="5" spans="1:14" x14ac:dyDescent="0.25">
      <c r="B5" s="1">
        <v>0.42710000276565602</v>
      </c>
      <c r="C5" s="1">
        <v>0.42269998788833602</v>
      </c>
      <c r="D5" s="1">
        <v>0.44530001282692</v>
      </c>
      <c r="E5" s="1">
        <v>0.47940000295639001</v>
      </c>
      <c r="F5" s="1">
        <v>0.50150000452995303</v>
      </c>
      <c r="G5" s="1">
        <v>0.50109999775886505</v>
      </c>
      <c r="H5" s="1">
        <v>0.49669999480247501</v>
      </c>
      <c r="I5" s="1">
        <v>0.50539999604225205</v>
      </c>
      <c r="J5" s="1">
        <v>0.50040000081062297</v>
      </c>
      <c r="K5" s="1">
        <v>0.47620000004768398</v>
      </c>
      <c r="L5" s="1">
        <v>0.50989998936653103</v>
      </c>
      <c r="M5" s="1">
        <v>0.47149998545646699</v>
      </c>
      <c r="N5" s="1">
        <v>0.46819999814033503</v>
      </c>
    </row>
    <row r="6" spans="1:14" x14ac:dyDescent="0.25">
      <c r="B6" s="1">
        <v>0.44470000386238101</v>
      </c>
      <c r="C6" s="1">
        <v>0.47459998726844799</v>
      </c>
      <c r="D6" s="1">
        <v>0.46619999408721902</v>
      </c>
      <c r="E6" s="1">
        <v>0.54340001344680799</v>
      </c>
      <c r="F6" s="1">
        <v>0.56819998621940604</v>
      </c>
      <c r="G6" s="1">
        <v>0.56729998588562003</v>
      </c>
      <c r="H6" s="1">
        <v>0.53690001010894794</v>
      </c>
      <c r="I6" s="1">
        <v>0.55160000324249303</v>
      </c>
      <c r="J6" s="1">
        <v>0.571200007200241</v>
      </c>
      <c r="K6" s="1">
        <v>0.56190000534057605</v>
      </c>
      <c r="L6" s="1">
        <v>0.56939999818801901</v>
      </c>
      <c r="M6" s="1">
        <v>0.50990000963211102</v>
      </c>
      <c r="N6" s="1">
        <v>0.50789999961853005</v>
      </c>
    </row>
    <row r="7" spans="1:14" x14ac:dyDescent="0.25">
      <c r="B7" s="1">
        <v>0.44139999151229897</v>
      </c>
      <c r="C7" s="1">
        <v>0.45730000734329201</v>
      </c>
      <c r="D7" s="1">
        <v>0.46810001134872398</v>
      </c>
      <c r="E7" s="1">
        <v>0.45300000309944199</v>
      </c>
      <c r="F7" s="1">
        <v>0.46439998745918298</v>
      </c>
      <c r="G7" s="1">
        <v>0.48370000123977702</v>
      </c>
      <c r="H7" s="1">
        <v>0.52879999518394505</v>
      </c>
      <c r="I7" s="1">
        <v>0.497499996423721</v>
      </c>
      <c r="J7" s="1">
        <v>0.51500000000000001</v>
      </c>
      <c r="K7" s="1">
        <v>0.50120000600814796</v>
      </c>
      <c r="L7" s="1">
        <v>0.52800001263618501</v>
      </c>
      <c r="M7" s="1">
        <v>0.47540000677108801</v>
      </c>
      <c r="N7" s="1">
        <v>0.49459999799728399</v>
      </c>
    </row>
    <row r="8" spans="1:14" x14ac:dyDescent="0.25">
      <c r="B8" s="1">
        <v>0.44649999260902401</v>
      </c>
      <c r="C8" s="1">
        <v>0.47649999260902398</v>
      </c>
      <c r="D8" s="1">
        <v>0.43579998612403897</v>
      </c>
      <c r="E8" s="1">
        <v>0.49509998559951801</v>
      </c>
      <c r="F8" s="1">
        <v>0.50950000047683697</v>
      </c>
      <c r="G8" s="1">
        <v>0.51039999127388003</v>
      </c>
      <c r="H8" s="1">
        <v>0.528599991798401</v>
      </c>
      <c r="I8" s="1">
        <v>0.519800001382828</v>
      </c>
      <c r="J8" s="1">
        <v>0.52549999356269805</v>
      </c>
      <c r="K8" s="1">
        <v>0.50269998669624305</v>
      </c>
      <c r="L8" s="1">
        <v>0.53849999666213999</v>
      </c>
      <c r="M8" s="1">
        <v>0.46090001463890101</v>
      </c>
      <c r="N8" s="1">
        <v>0.47740000486373901</v>
      </c>
    </row>
    <row r="9" spans="1:14" x14ac:dyDescent="0.25">
      <c r="B9" s="1">
        <v>0.41379999041557303</v>
      </c>
      <c r="C9" s="1">
        <v>0.46819998621940601</v>
      </c>
      <c r="D9" s="1">
        <v>0.42100000381469699</v>
      </c>
      <c r="E9" s="1">
        <v>0.51120000481605499</v>
      </c>
      <c r="F9" s="1">
        <v>0.53299998641014101</v>
      </c>
      <c r="G9" s="1">
        <v>0.53560000061988799</v>
      </c>
      <c r="H9" s="1">
        <v>0.55999998688697805</v>
      </c>
      <c r="I9" s="1">
        <v>0.53010001182556199</v>
      </c>
      <c r="J9" s="1">
        <v>0.53690000772476199</v>
      </c>
      <c r="K9" s="1">
        <v>0.51070000290870698</v>
      </c>
      <c r="L9" s="1">
        <v>0.53429998517036403</v>
      </c>
      <c r="M9" s="1">
        <v>0.49590001106262199</v>
      </c>
      <c r="N9" s="1">
        <v>0.456499993801117</v>
      </c>
    </row>
    <row r="10" spans="1:14" x14ac:dyDescent="0.25">
      <c r="B10" s="1">
        <v>0.45140000104904199</v>
      </c>
      <c r="C10" s="1">
        <v>0.48259999155998201</v>
      </c>
      <c r="D10" s="1">
        <v>0.44990000128745999</v>
      </c>
      <c r="E10" s="1">
        <v>0.52889999151229905</v>
      </c>
      <c r="F10" s="1">
        <v>0.52729999423026996</v>
      </c>
      <c r="G10" s="1">
        <v>0.522000008821487</v>
      </c>
      <c r="H10" s="1">
        <v>0.55490000486373903</v>
      </c>
      <c r="I10" s="1">
        <v>0.54939999580383303</v>
      </c>
      <c r="J10" s="1">
        <v>0.55000000596046394</v>
      </c>
      <c r="K10" s="1">
        <v>0.53329999804496797</v>
      </c>
      <c r="L10" s="1">
        <v>0.54799999356269802</v>
      </c>
      <c r="M10" s="1">
        <v>0.46849999427795402</v>
      </c>
      <c r="N10" s="1">
        <v>0.49309998750686601</v>
      </c>
    </row>
    <row r="12" spans="1:14" x14ac:dyDescent="0.25">
      <c r="A12" s="1" t="s">
        <v>10</v>
      </c>
    </row>
    <row r="13" spans="1:14" x14ac:dyDescent="0.25">
      <c r="B13" s="1">
        <v>7.0299997925758403E-2</v>
      </c>
      <c r="C13" s="1">
        <v>7.1699999272823306E-2</v>
      </c>
      <c r="D13" s="1">
        <v>6.6500000655651106E-2</v>
      </c>
      <c r="E13" s="1">
        <v>5.92000000178814E-2</v>
      </c>
      <c r="F13" s="1">
        <v>6.1299998313188601E-2</v>
      </c>
      <c r="G13" s="1">
        <v>6.4999997615814195E-2</v>
      </c>
      <c r="H13" s="1">
        <v>6.3900001347065E-2</v>
      </c>
      <c r="I13" s="1">
        <v>6.0400001704692799E-2</v>
      </c>
      <c r="J13" s="1">
        <v>6.7000001668930095E-2</v>
      </c>
      <c r="K13" s="1">
        <v>6.6299997270107297E-2</v>
      </c>
      <c r="L13" s="1">
        <v>8.2500003278255504E-2</v>
      </c>
      <c r="M13" s="1">
        <v>6.9600000977516202E-2</v>
      </c>
      <c r="N13" s="1">
        <v>7.0200003683567005E-2</v>
      </c>
    </row>
    <row r="14" spans="1:14" x14ac:dyDescent="0.25">
      <c r="B14" s="1">
        <v>8.8200002908706707E-2</v>
      </c>
      <c r="C14" s="1">
        <v>8.5699997842311901E-2</v>
      </c>
      <c r="D14" s="1">
        <v>6.7800000309944194E-2</v>
      </c>
      <c r="E14" s="1">
        <v>7.8299999237060505E-2</v>
      </c>
      <c r="F14" s="1">
        <v>7.5900003314018194E-2</v>
      </c>
      <c r="G14" s="1">
        <v>7.9899996519088703E-2</v>
      </c>
      <c r="H14" s="1">
        <v>7.8500002622604398E-2</v>
      </c>
      <c r="I14" s="1">
        <v>8.4799997508525807E-2</v>
      </c>
      <c r="J14" s="1">
        <v>8.3999998867511694E-2</v>
      </c>
      <c r="K14" s="1">
        <v>8.4600001573562594E-2</v>
      </c>
      <c r="L14" s="1">
        <v>8.6499996483326E-2</v>
      </c>
      <c r="M14" s="1">
        <v>7.11999982595444E-2</v>
      </c>
      <c r="N14" s="1">
        <v>8.2599997520446805E-2</v>
      </c>
    </row>
    <row r="15" spans="1:14" x14ac:dyDescent="0.25">
      <c r="B15" s="1">
        <v>7.5000002980232197E-2</v>
      </c>
      <c r="C15" s="1">
        <v>7.4500001966953305E-2</v>
      </c>
      <c r="D15" s="1">
        <v>7.3499999940395397E-2</v>
      </c>
      <c r="E15" s="1">
        <v>6.25E-2</v>
      </c>
      <c r="F15" s="1">
        <v>6.4499996602535206E-2</v>
      </c>
      <c r="G15" s="1">
        <v>6.1500001698732397E-2</v>
      </c>
      <c r="H15" s="1">
        <v>6.68999999761581E-2</v>
      </c>
      <c r="I15" s="1">
        <v>7.1299999952316298E-2</v>
      </c>
      <c r="J15" s="1">
        <v>6.9499999284744304E-2</v>
      </c>
      <c r="K15" s="1">
        <v>6.9600000977516202E-2</v>
      </c>
      <c r="L15" s="1">
        <v>7.11999982595444E-2</v>
      </c>
      <c r="M15" s="1">
        <v>7.2800002992153195E-2</v>
      </c>
      <c r="N15" s="1">
        <v>6.7800000309944194E-2</v>
      </c>
    </row>
    <row r="16" spans="1:14" x14ac:dyDescent="0.25">
      <c r="B16" s="1">
        <v>9.1099999845027896E-2</v>
      </c>
      <c r="C16" s="1">
        <v>8.7399996817111997E-2</v>
      </c>
      <c r="D16" s="1">
        <v>6.9399997591972407E-2</v>
      </c>
      <c r="E16" s="1">
        <v>7.5199998915195507E-2</v>
      </c>
      <c r="F16" s="1">
        <v>7.8100003302097307E-2</v>
      </c>
      <c r="G16" s="1">
        <v>7.9099997878074604E-2</v>
      </c>
      <c r="H16" s="1">
        <v>8.3899997174739796E-2</v>
      </c>
      <c r="I16" s="1">
        <v>9.08000022172928E-2</v>
      </c>
      <c r="J16" s="1">
        <v>8.5900001227855696E-2</v>
      </c>
      <c r="K16" s="1">
        <v>8.9100003242492704E-2</v>
      </c>
      <c r="L16" s="1">
        <v>8.6900003254413605E-2</v>
      </c>
      <c r="M16" s="1">
        <v>6.7000001668930095E-2</v>
      </c>
      <c r="N16" s="1">
        <v>8.2900002598762498E-2</v>
      </c>
    </row>
    <row r="17" spans="1:14" x14ac:dyDescent="0.25">
      <c r="B17" s="1">
        <v>7.1599997580051394E-2</v>
      </c>
      <c r="C17" s="1">
        <v>7.7699996531009702E-2</v>
      </c>
      <c r="D17" s="1">
        <v>7.6300002634525299E-2</v>
      </c>
      <c r="E17" s="1">
        <v>6.1200000345706898E-2</v>
      </c>
      <c r="F17" s="1">
        <v>7.0299997925758403E-2</v>
      </c>
      <c r="G17" s="1">
        <v>6.9799996912479401E-2</v>
      </c>
      <c r="H17" s="1">
        <v>7.3100000619888306E-2</v>
      </c>
      <c r="I17" s="1">
        <v>7.5999997556209606E-2</v>
      </c>
      <c r="J17" s="1">
        <v>7.5999997556209606E-2</v>
      </c>
      <c r="K17" s="1">
        <v>7.4199996888637501E-2</v>
      </c>
      <c r="L17" s="1">
        <v>7.4199996888637501E-2</v>
      </c>
      <c r="M17" s="1">
        <v>6.4099997282028198E-2</v>
      </c>
      <c r="N17" s="1">
        <v>6.3199996948242201E-2</v>
      </c>
    </row>
    <row r="18" spans="1:14" x14ac:dyDescent="0.25">
      <c r="B18" s="1">
        <v>8.7099999189376803E-2</v>
      </c>
      <c r="C18" s="1">
        <v>8.7600000202655806E-2</v>
      </c>
      <c r="D18" s="1">
        <v>7.1099996566772503E-2</v>
      </c>
      <c r="E18" s="1">
        <v>7.5000002980232197E-2</v>
      </c>
      <c r="F18" s="1">
        <v>8.2800000905990601E-2</v>
      </c>
      <c r="G18" s="1">
        <v>8.2999996840953799E-2</v>
      </c>
      <c r="H18" s="1">
        <v>8.6400002241134602E-2</v>
      </c>
      <c r="I18" s="1">
        <v>9.2900000512599903E-2</v>
      </c>
      <c r="J18" s="1">
        <v>9.08999964594841E-2</v>
      </c>
      <c r="K18" s="1">
        <v>9.2200003564357799E-2</v>
      </c>
      <c r="L18" s="1">
        <v>9.1200001537799794E-2</v>
      </c>
      <c r="M18" s="1">
        <v>6.9600000977516202E-2</v>
      </c>
      <c r="N18" s="1">
        <v>8.2500003278255504E-2</v>
      </c>
    </row>
    <row r="19" spans="1:14" x14ac:dyDescent="0.25">
      <c r="B19" s="1">
        <v>7.0299997925758403E-2</v>
      </c>
      <c r="C19" s="1">
        <v>7.3200002312660203E-2</v>
      </c>
      <c r="D19" s="1">
        <v>7.4600003659725203E-2</v>
      </c>
      <c r="E19" s="1">
        <v>6.3199996948242201E-2</v>
      </c>
      <c r="F19" s="1">
        <v>7.4400000274181394E-2</v>
      </c>
      <c r="G19" s="1">
        <v>7.1000002324581105E-2</v>
      </c>
      <c r="H19" s="1">
        <v>7.41000026464462E-2</v>
      </c>
      <c r="I19" s="1">
        <v>8.0499999225139604E-2</v>
      </c>
      <c r="J19" s="1">
        <v>7.7600002288818401E-2</v>
      </c>
      <c r="K19" s="1">
        <v>7.8900001943111406E-2</v>
      </c>
      <c r="L19" s="1">
        <v>8.07000026106834E-2</v>
      </c>
      <c r="M19" s="1">
        <v>7.8199997544288594E-2</v>
      </c>
      <c r="N19" s="1">
        <v>6.6299997270107297E-2</v>
      </c>
    </row>
    <row r="20" spans="1:14" x14ac:dyDescent="0.25">
      <c r="B20" s="1">
        <v>8.2400001585483607E-2</v>
      </c>
      <c r="C20" s="1">
        <v>8.21999981999397E-2</v>
      </c>
      <c r="D20" s="1">
        <v>7.6600000262260395E-2</v>
      </c>
      <c r="E20" s="1">
        <v>8.0799996852874797E-2</v>
      </c>
      <c r="F20" s="1">
        <v>8.7700001895427704E-2</v>
      </c>
      <c r="G20" s="1">
        <v>8.7899997830390902E-2</v>
      </c>
      <c r="H20" s="1">
        <v>8.6599998176097898E-2</v>
      </c>
      <c r="I20" s="1">
        <v>9.7000002861022894E-2</v>
      </c>
      <c r="J20" s="1">
        <v>9.0300001204013797E-2</v>
      </c>
      <c r="K20" s="1">
        <v>9.9600002169609098E-2</v>
      </c>
      <c r="L20" s="1">
        <v>9.1200001537799794E-2</v>
      </c>
      <c r="M20" s="1">
        <v>8.35999995470047E-2</v>
      </c>
      <c r="N20" s="1">
        <v>7.6499998569488498E-2</v>
      </c>
    </row>
    <row r="22" spans="1:14" x14ac:dyDescent="0.25">
      <c r="A22" s="1" t="s">
        <v>11</v>
      </c>
    </row>
    <row r="23" spans="1:14" x14ac:dyDescent="0.25">
      <c r="B23" s="1">
        <f t="shared" ref="B23:N23" si="0">B3-B13</f>
        <v>0.38090001046657601</v>
      </c>
      <c r="C23" s="1">
        <f t="shared" si="0"/>
        <v>0.37750000506639497</v>
      </c>
      <c r="D23" s="1">
        <f t="shared" si="0"/>
        <v>0.38319999724626502</v>
      </c>
      <c r="E23" s="1">
        <f t="shared" si="0"/>
        <v>0.41709999397397002</v>
      </c>
      <c r="F23" s="1">
        <f t="shared" si="0"/>
        <v>0.41290000602603</v>
      </c>
      <c r="G23" s="1">
        <f t="shared" si="0"/>
        <v>0.412800008058548</v>
      </c>
      <c r="H23" s="1">
        <f t="shared" si="0"/>
        <v>0.44619999974966101</v>
      </c>
      <c r="I23" s="1">
        <f t="shared" si="0"/>
        <v>0.39879998713731801</v>
      </c>
      <c r="J23" s="1">
        <f t="shared" si="0"/>
        <v>0.406000012159348</v>
      </c>
      <c r="K23" s="1">
        <f t="shared" si="0"/>
        <v>0.44729998856782899</v>
      </c>
      <c r="L23" s="1">
        <f t="shared" si="0"/>
        <v>0.44489998847246198</v>
      </c>
      <c r="M23" s="1">
        <f t="shared" si="0"/>
        <v>0.383100011944771</v>
      </c>
      <c r="N23" s="1">
        <f t="shared" si="0"/>
        <v>0.42410000413656201</v>
      </c>
    </row>
    <row r="24" spans="1:14" x14ac:dyDescent="0.25">
      <c r="B24" s="1">
        <f t="shared" ref="B24:N24" si="1">B4-B14</f>
        <v>0.382799983024597</v>
      </c>
      <c r="C24" s="1">
        <f t="shared" si="1"/>
        <v>0.38619998842477798</v>
      </c>
      <c r="D24" s="1">
        <f t="shared" si="1"/>
        <v>0.39240001142024999</v>
      </c>
      <c r="E24" s="1">
        <f t="shared" si="1"/>
        <v>0.46690001487731903</v>
      </c>
      <c r="F24" s="1">
        <f t="shared" si="1"/>
        <v>0.47399998605251298</v>
      </c>
      <c r="G24" s="1">
        <f t="shared" si="1"/>
        <v>0.47789999246597298</v>
      </c>
      <c r="H24" s="1">
        <f t="shared" si="1"/>
        <v>0.458900010585785</v>
      </c>
      <c r="I24" s="1">
        <f t="shared" si="1"/>
        <v>0.46529999524354898</v>
      </c>
      <c r="J24" s="1">
        <f t="shared" si="1"/>
        <v>0.48029999583959598</v>
      </c>
      <c r="K24" s="1">
        <f t="shared" si="1"/>
        <v>0.46060000419616698</v>
      </c>
      <c r="L24" s="1">
        <f t="shared" si="1"/>
        <v>0.45229999035596802</v>
      </c>
      <c r="M24" s="1">
        <f t="shared" si="1"/>
        <v>0.42140000164508801</v>
      </c>
      <c r="N24" s="1">
        <f t="shared" si="1"/>
        <v>0.43599998950958302</v>
      </c>
    </row>
    <row r="25" spans="1:14" x14ac:dyDescent="0.25">
      <c r="B25" s="1">
        <f t="shared" ref="B25:N25" si="2">B5-B15</f>
        <v>0.352099999785423</v>
      </c>
      <c r="C25" s="1">
        <f t="shared" si="2"/>
        <v>0.34819998592138302</v>
      </c>
      <c r="D25" s="1">
        <f t="shared" si="2"/>
        <v>0.37180001288652398</v>
      </c>
      <c r="E25" s="1">
        <f t="shared" si="2"/>
        <v>0.41690000295639001</v>
      </c>
      <c r="F25" s="1">
        <f t="shared" si="2"/>
        <v>0.437000007927418</v>
      </c>
      <c r="G25" s="1">
        <f t="shared" si="2"/>
        <v>0.439599996060133</v>
      </c>
      <c r="H25" s="1">
        <f t="shared" si="2"/>
        <v>0.42979999482631698</v>
      </c>
      <c r="I25" s="1">
        <f t="shared" si="2"/>
        <v>0.43409999608993499</v>
      </c>
      <c r="J25" s="1">
        <f t="shared" si="2"/>
        <v>0.43090000152587898</v>
      </c>
      <c r="K25" s="1">
        <f t="shared" si="2"/>
        <v>0.40659999907016797</v>
      </c>
      <c r="L25" s="1">
        <f t="shared" si="2"/>
        <v>0.43869999110698699</v>
      </c>
      <c r="M25" s="1">
        <f t="shared" si="2"/>
        <v>0.39869998246431299</v>
      </c>
      <c r="N25" s="1">
        <f t="shared" si="2"/>
        <v>0.40039999783039099</v>
      </c>
    </row>
    <row r="26" spans="1:14" x14ac:dyDescent="0.25">
      <c r="B26" s="1">
        <f t="shared" ref="B26:N26" si="3">B6-B16</f>
        <v>0.35360000401735298</v>
      </c>
      <c r="C26" s="1">
        <f t="shared" si="3"/>
        <v>0.38719999045133602</v>
      </c>
      <c r="D26" s="1">
        <f t="shared" si="3"/>
        <v>0.396799996495247</v>
      </c>
      <c r="E26" s="1">
        <f t="shared" si="3"/>
        <v>0.46820001453161197</v>
      </c>
      <c r="F26" s="1">
        <f t="shared" si="3"/>
        <v>0.490099982917309</v>
      </c>
      <c r="G26" s="1">
        <f t="shared" si="3"/>
        <v>0.48819998800754499</v>
      </c>
      <c r="H26" s="1">
        <f t="shared" si="3"/>
        <v>0.453000012934208</v>
      </c>
      <c r="I26" s="1">
        <f t="shared" si="3"/>
        <v>0.46080000102520002</v>
      </c>
      <c r="J26" s="1">
        <f t="shared" si="3"/>
        <v>0.48530000597238498</v>
      </c>
      <c r="K26" s="1">
        <f t="shared" si="3"/>
        <v>0.47280000209808298</v>
      </c>
      <c r="L26" s="1">
        <f t="shared" si="3"/>
        <v>0.48249999493360501</v>
      </c>
      <c r="M26" s="1">
        <f t="shared" si="3"/>
        <v>0.44290000796318102</v>
      </c>
      <c r="N26" s="1">
        <f t="shared" si="3"/>
        <v>0.42499999701976798</v>
      </c>
    </row>
    <row r="27" spans="1:14" x14ac:dyDescent="0.25">
      <c r="B27" s="1">
        <f t="shared" ref="B27:N27" si="4">B7-B17</f>
        <v>0.369799993932247</v>
      </c>
      <c r="C27" s="1">
        <f t="shared" si="4"/>
        <v>0.37960001081228301</v>
      </c>
      <c r="D27" s="1">
        <f t="shared" si="4"/>
        <v>0.39180000871419901</v>
      </c>
      <c r="E27" s="1">
        <f t="shared" si="4"/>
        <v>0.391800002753735</v>
      </c>
      <c r="F27" s="1">
        <f t="shared" si="4"/>
        <v>0.39409998953342401</v>
      </c>
      <c r="G27" s="1">
        <f t="shared" si="4"/>
        <v>0.41390000432729701</v>
      </c>
      <c r="H27" s="1">
        <f t="shared" si="4"/>
        <v>0.45569999456405602</v>
      </c>
      <c r="I27" s="1">
        <f t="shared" si="4"/>
        <v>0.42149999886751199</v>
      </c>
      <c r="J27" s="1">
        <f t="shared" si="4"/>
        <v>0.43900000244379001</v>
      </c>
      <c r="K27" s="1">
        <f t="shared" si="4"/>
        <v>0.42700000911951103</v>
      </c>
      <c r="L27" s="1">
        <f t="shared" si="4"/>
        <v>0.45380001574754703</v>
      </c>
      <c r="M27" s="1">
        <f t="shared" si="4"/>
        <v>0.41130000948905898</v>
      </c>
      <c r="N27" s="1">
        <f t="shared" si="4"/>
        <v>0.43140000104904203</v>
      </c>
    </row>
    <row r="28" spans="1:14" x14ac:dyDescent="0.25">
      <c r="B28" s="1">
        <f t="shared" ref="B28:N28" si="5">B8-B18</f>
        <v>0.35939999341964701</v>
      </c>
      <c r="C28" s="1">
        <f t="shared" si="5"/>
        <v>0.38889999240636802</v>
      </c>
      <c r="D28" s="1">
        <f t="shared" si="5"/>
        <v>0.36469998955726601</v>
      </c>
      <c r="E28" s="1">
        <f t="shared" si="5"/>
        <v>0.42009998261928599</v>
      </c>
      <c r="F28" s="1">
        <f t="shared" si="5"/>
        <v>0.42669999957084698</v>
      </c>
      <c r="G28" s="1">
        <f t="shared" si="5"/>
        <v>0.42739999443292598</v>
      </c>
      <c r="H28" s="1">
        <f t="shared" si="5"/>
        <v>0.44219998955726603</v>
      </c>
      <c r="I28" s="1">
        <f t="shared" si="5"/>
        <v>0.426900000870228</v>
      </c>
      <c r="J28" s="1">
        <f t="shared" si="5"/>
        <v>0.43459999710321401</v>
      </c>
      <c r="K28" s="1">
        <f t="shared" si="5"/>
        <v>0.41049998313188601</v>
      </c>
      <c r="L28" s="1">
        <f t="shared" si="5"/>
        <v>0.44729999512433999</v>
      </c>
      <c r="M28" s="1">
        <f t="shared" si="5"/>
        <v>0.391300013661385</v>
      </c>
      <c r="N28" s="1">
        <f t="shared" si="5"/>
        <v>0.394900001585484</v>
      </c>
    </row>
    <row r="29" spans="1:14" x14ac:dyDescent="0.25">
      <c r="B29" s="1">
        <f t="shared" ref="B29:N29" si="6">B9-B19</f>
        <v>0.343499992489815</v>
      </c>
      <c r="C29" s="1">
        <f t="shared" si="6"/>
        <v>0.39499998390674601</v>
      </c>
      <c r="D29" s="1">
        <f t="shared" si="6"/>
        <v>0.34640000015497202</v>
      </c>
      <c r="E29" s="1">
        <f t="shared" si="6"/>
        <v>0.44800000786781302</v>
      </c>
      <c r="F29" s="1">
        <f t="shared" si="6"/>
        <v>0.45859998613595998</v>
      </c>
      <c r="G29" s="1">
        <f t="shared" si="6"/>
        <v>0.46459999829530702</v>
      </c>
      <c r="H29" s="1">
        <f t="shared" si="6"/>
        <v>0.48589998424053199</v>
      </c>
      <c r="I29" s="1">
        <f t="shared" si="6"/>
        <v>0.44960001260042198</v>
      </c>
      <c r="J29" s="1">
        <f t="shared" si="6"/>
        <v>0.45930000543594401</v>
      </c>
      <c r="K29" s="1">
        <f t="shared" si="6"/>
        <v>0.43180000096559501</v>
      </c>
      <c r="L29" s="1">
        <f t="shared" si="6"/>
        <v>0.45359998255968098</v>
      </c>
      <c r="M29" s="1">
        <f t="shared" si="6"/>
        <v>0.41770001351833302</v>
      </c>
      <c r="N29" s="1">
        <f t="shared" si="6"/>
        <v>0.39019999653101001</v>
      </c>
    </row>
    <row r="30" spans="1:14" x14ac:dyDescent="0.25">
      <c r="B30" s="1">
        <f t="shared" ref="B30:N30" si="7">B10-B20</f>
        <v>0.36899999946355799</v>
      </c>
      <c r="C30" s="1">
        <f t="shared" si="7"/>
        <v>0.40039999336004301</v>
      </c>
      <c r="D30" s="1">
        <f t="shared" si="7"/>
        <v>0.3733000010252</v>
      </c>
      <c r="E30" s="1">
        <f t="shared" si="7"/>
        <v>0.44809999465942402</v>
      </c>
      <c r="F30" s="1">
        <f t="shared" si="7"/>
        <v>0.43959999233484298</v>
      </c>
      <c r="G30" s="1">
        <f t="shared" si="7"/>
        <v>0.43410001099109702</v>
      </c>
      <c r="H30" s="1">
        <f t="shared" si="7"/>
        <v>0.46830000668764099</v>
      </c>
      <c r="I30" s="1">
        <f t="shared" si="7"/>
        <v>0.45239999294281003</v>
      </c>
      <c r="J30" s="1">
        <f t="shared" si="7"/>
        <v>0.45970000475645101</v>
      </c>
      <c r="K30" s="1">
        <f t="shared" si="7"/>
        <v>0.43369999587535901</v>
      </c>
      <c r="L30" s="1">
        <f t="shared" si="7"/>
        <v>0.45679999202489902</v>
      </c>
      <c r="M30" s="1">
        <f t="shared" si="7"/>
        <v>0.38489999473094899</v>
      </c>
      <c r="N30" s="1">
        <f t="shared" si="7"/>
        <v>0.41659998893737799</v>
      </c>
    </row>
    <row r="32" spans="1:14" x14ac:dyDescent="0.25">
      <c r="A32" s="1" t="s">
        <v>13</v>
      </c>
      <c r="C32" s="1" t="s">
        <v>26</v>
      </c>
    </row>
    <row r="33" spans="1:14" x14ac:dyDescent="0.25">
      <c r="B33" s="1">
        <f t="shared" ref="B33:N33" si="8">B23/0.462300022443136</f>
        <v>0.823923841607486</v>
      </c>
      <c r="C33" s="1">
        <f t="shared" si="8"/>
        <v>0.81656929859402805</v>
      </c>
      <c r="D33" s="1">
        <f t="shared" si="8"/>
        <v>0.82889893714725005</v>
      </c>
      <c r="E33" s="1">
        <f t="shared" si="8"/>
        <v>0.90222793364729903</v>
      </c>
      <c r="F33" s="1">
        <f t="shared" si="8"/>
        <v>0.89314295042418501</v>
      </c>
      <c r="G33" s="1">
        <f t="shared" si="8"/>
        <v>0.892926645075652</v>
      </c>
      <c r="H33" s="1">
        <f t="shared" si="8"/>
        <v>0.96517408195571597</v>
      </c>
      <c r="I33" s="1">
        <f t="shared" si="8"/>
        <v>0.86264323551135202</v>
      </c>
      <c r="J33" s="1">
        <f t="shared" si="8"/>
        <v>0.87821759128139898</v>
      </c>
      <c r="K33" s="1">
        <f t="shared" si="8"/>
        <v>0.96755346496408201</v>
      </c>
      <c r="L33" s="1">
        <f t="shared" si="8"/>
        <v>0.96236203087614003</v>
      </c>
      <c r="M33" s="1">
        <f t="shared" si="8"/>
        <v>0.82868265919648099</v>
      </c>
      <c r="N33" s="1">
        <f t="shared" si="8"/>
        <v>0.91736963778479497</v>
      </c>
    </row>
    <row r="34" spans="1:14" x14ac:dyDescent="0.25">
      <c r="B34" s="1">
        <f t="shared" ref="B34:N34" si="9">B24/0.462300022443136</f>
        <v>0.82803366740412099</v>
      </c>
      <c r="C34" s="1">
        <f t="shared" si="9"/>
        <v>0.83538821041757905</v>
      </c>
      <c r="D34" s="1">
        <f t="shared" si="9"/>
        <v>0.84879946435329501</v>
      </c>
      <c r="E34" s="1">
        <f t="shared" si="9"/>
        <v>1.0099502319075699</v>
      </c>
      <c r="F34" s="1">
        <f t="shared" si="9"/>
        <v>1.02530816145659</v>
      </c>
      <c r="G34" s="1">
        <f t="shared" si="9"/>
        <v>1.03374425538722</v>
      </c>
      <c r="H34" s="1">
        <f t="shared" si="9"/>
        <v>0.992645443019053</v>
      </c>
      <c r="I34" s="1">
        <f t="shared" si="9"/>
        <v>1.0064892335167099</v>
      </c>
      <c r="J34" s="1">
        <f t="shared" si="9"/>
        <v>1.0389356965663401</v>
      </c>
      <c r="K34" s="1">
        <f t="shared" si="9"/>
        <v>0.99632269486385705</v>
      </c>
      <c r="L34" s="1">
        <f t="shared" si="9"/>
        <v>0.97836895608544405</v>
      </c>
      <c r="M34" s="1">
        <f t="shared" si="9"/>
        <v>0.91152926927863498</v>
      </c>
      <c r="N34" s="1">
        <f t="shared" si="9"/>
        <v>0.94311046580840596</v>
      </c>
    </row>
    <row r="35" spans="1:14" x14ac:dyDescent="0.25">
      <c r="B35" s="1">
        <f t="shared" ref="B35:N35" si="10">B25/0.462300022443136</f>
        <v>0.76162661192328296</v>
      </c>
      <c r="C35" s="1">
        <f t="shared" si="10"/>
        <v>0.75319050187632697</v>
      </c>
      <c r="D35" s="1">
        <f t="shared" si="10"/>
        <v>0.80423966004080505</v>
      </c>
      <c r="E35" s="1">
        <f t="shared" si="10"/>
        <v>0.90179533358701103</v>
      </c>
      <c r="F35" s="1">
        <f t="shared" si="10"/>
        <v>0.94527360309866704</v>
      </c>
      <c r="G35" s="1">
        <f t="shared" si="10"/>
        <v>0.95089763080036405</v>
      </c>
      <c r="H35" s="1">
        <f t="shared" si="10"/>
        <v>0.92969927311475098</v>
      </c>
      <c r="I35" s="1">
        <f t="shared" si="10"/>
        <v>0.93900059488604204</v>
      </c>
      <c r="J35" s="1">
        <f t="shared" si="10"/>
        <v>0.93207869480231498</v>
      </c>
      <c r="K35" s="1">
        <f t="shared" si="10"/>
        <v>0.87951542143864003</v>
      </c>
      <c r="L35" s="1">
        <f t="shared" si="10"/>
        <v>0.94895083238060696</v>
      </c>
      <c r="M35" s="1">
        <f t="shared" si="10"/>
        <v>0.86242691565812002</v>
      </c>
      <c r="N35" s="1">
        <f t="shared" si="10"/>
        <v>0.86610421456261399</v>
      </c>
    </row>
    <row r="36" spans="1:14" x14ac:dyDescent="0.25">
      <c r="B36" s="1">
        <f t="shared" ref="B36:N36" si="11">B26/0.462300022443136</f>
        <v>0.76487126725339205</v>
      </c>
      <c r="C36" s="1">
        <f t="shared" si="11"/>
        <v>0.83755131225191004</v>
      </c>
      <c r="D36" s="1">
        <f t="shared" si="11"/>
        <v>0.85831706085208803</v>
      </c>
      <c r="E36" s="1">
        <f t="shared" si="11"/>
        <v>1.0127622578456701</v>
      </c>
      <c r="F36" s="1">
        <f t="shared" si="11"/>
        <v>1.06013402363093</v>
      </c>
      <c r="G36" s="1">
        <f t="shared" si="11"/>
        <v>1.0560241494853</v>
      </c>
      <c r="H36" s="1">
        <f t="shared" si="11"/>
        <v>0.97988317313985795</v>
      </c>
      <c r="I36" s="1">
        <f t="shared" si="11"/>
        <v>0.99675530749488395</v>
      </c>
      <c r="J36" s="1">
        <f t="shared" si="11"/>
        <v>1.0497512057380001</v>
      </c>
      <c r="K36" s="1">
        <f t="shared" si="11"/>
        <v>1.0227124792239</v>
      </c>
      <c r="L36" s="1">
        <f t="shared" si="11"/>
        <v>1.04369450899811</v>
      </c>
      <c r="M36" s="1">
        <f t="shared" si="11"/>
        <v>0.95803587813508795</v>
      </c>
      <c r="N36" s="1">
        <f t="shared" si="11"/>
        <v>0.91931641009609499</v>
      </c>
    </row>
    <row r="37" spans="1:14" x14ac:dyDescent="0.25">
      <c r="B37" s="1">
        <f t="shared" ref="B37:N37" si="12">B27/0.462300022443136</f>
        <v>0.79991342413947997</v>
      </c>
      <c r="C37" s="1">
        <f t="shared" si="12"/>
        <v>0.82111181566938896</v>
      </c>
      <c r="D37" s="1">
        <f t="shared" si="12"/>
        <v>0.84750160002942998</v>
      </c>
      <c r="E37" s="1">
        <f t="shared" si="12"/>
        <v>0.84750158713636403</v>
      </c>
      <c r="F37" s="1">
        <f t="shared" si="12"/>
        <v>0.85247668267612897</v>
      </c>
      <c r="G37" s="1">
        <f t="shared" si="12"/>
        <v>0.89530604420034998</v>
      </c>
      <c r="H37" s="1">
        <f t="shared" si="12"/>
        <v>0.98572349652029001</v>
      </c>
      <c r="I37" s="1">
        <f t="shared" si="12"/>
        <v>0.91174557301553505</v>
      </c>
      <c r="J37" s="1">
        <f t="shared" si="12"/>
        <v>0.949599786138424</v>
      </c>
      <c r="K37" s="1">
        <f t="shared" si="12"/>
        <v>0.92364263117039502</v>
      </c>
      <c r="L37" s="1">
        <f t="shared" si="12"/>
        <v>0.98161365718593596</v>
      </c>
      <c r="M37" s="1">
        <f t="shared" si="12"/>
        <v>0.88968200199395497</v>
      </c>
      <c r="N37" s="1">
        <f t="shared" si="12"/>
        <v>0.93316024249621399</v>
      </c>
    </row>
    <row r="38" spans="1:14" x14ac:dyDescent="0.25">
      <c r="B38" s="1">
        <f t="shared" ref="B38:N38" si="13">B28/0.462300022443136</f>
        <v>0.77741720954351501</v>
      </c>
      <c r="C38" s="1">
        <f t="shared" si="13"/>
        <v>0.84122858214700602</v>
      </c>
      <c r="D38" s="1">
        <f t="shared" si="13"/>
        <v>0.78888161767745801</v>
      </c>
      <c r="E38" s="1">
        <f t="shared" si="13"/>
        <v>0.908717201438075</v>
      </c>
      <c r="F38" s="1">
        <f t="shared" si="13"/>
        <v>0.92299368128049697</v>
      </c>
      <c r="G38" s="1">
        <f t="shared" si="13"/>
        <v>0.924507838382157</v>
      </c>
      <c r="H38" s="1">
        <f t="shared" si="13"/>
        <v>0.95652167010581901</v>
      </c>
      <c r="I38" s="1">
        <f t="shared" si="13"/>
        <v>0.92342630358132305</v>
      </c>
      <c r="J38" s="1">
        <f t="shared" si="13"/>
        <v>0.94008214580320704</v>
      </c>
      <c r="K38" s="1">
        <f t="shared" si="13"/>
        <v>0.88795146702026795</v>
      </c>
      <c r="L38" s="1">
        <f t="shared" si="13"/>
        <v>0.96755347914645395</v>
      </c>
      <c r="M38" s="1">
        <f t="shared" si="13"/>
        <v>0.84642006200533004</v>
      </c>
      <c r="N38" s="1">
        <f t="shared" si="13"/>
        <v>0.85420718670645801</v>
      </c>
    </row>
    <row r="39" spans="1:14" x14ac:dyDescent="0.25">
      <c r="B39" s="1">
        <f t="shared" ref="B39:N39" si="14">B29/0.462300022443136</f>
        <v>0.74302395806624899</v>
      </c>
      <c r="C39" s="1">
        <f t="shared" si="14"/>
        <v>0.85442345821069399</v>
      </c>
      <c r="D39" s="1">
        <f t="shared" si="14"/>
        <v>0.74929695725372802</v>
      </c>
      <c r="E39" s="1">
        <f t="shared" si="14"/>
        <v>0.96906767492731005</v>
      </c>
      <c r="F39" s="1">
        <f t="shared" si="14"/>
        <v>0.99199646089649196</v>
      </c>
      <c r="G39" s="1">
        <f t="shared" si="14"/>
        <v>1.0049750719024799</v>
      </c>
      <c r="H39" s="1">
        <f t="shared" si="14"/>
        <v>1.05104901720029</v>
      </c>
      <c r="I39" s="1">
        <f t="shared" si="14"/>
        <v>0.97252864108550596</v>
      </c>
      <c r="J39" s="1">
        <f t="shared" si="14"/>
        <v>0.99351067085972</v>
      </c>
      <c r="K39" s="1">
        <f t="shared" si="14"/>
        <v>0.93402548129598595</v>
      </c>
      <c r="L39" s="1">
        <f t="shared" si="14"/>
        <v>0.98118096590721005</v>
      </c>
      <c r="M39" s="1">
        <f t="shared" si="14"/>
        <v>0.90352583439407397</v>
      </c>
      <c r="N39" s="1">
        <f t="shared" si="14"/>
        <v>0.84404061775490202</v>
      </c>
    </row>
    <row r="40" spans="1:14" x14ac:dyDescent="0.25">
      <c r="B40" s="1">
        <f t="shared" ref="B40:N40" si="15">B30/0.462300022443136</f>
        <v>0.798182958143694</v>
      </c>
      <c r="C40" s="1">
        <f t="shared" si="15"/>
        <v>0.86610420489281403</v>
      </c>
      <c r="D40" s="1">
        <f t="shared" si="15"/>
        <v>0.80748428055963695</v>
      </c>
      <c r="E40" s="1">
        <f t="shared" si="15"/>
        <v>0.96928395610134599</v>
      </c>
      <c r="F40" s="1">
        <f t="shared" si="15"/>
        <v>0.95089762274219802</v>
      </c>
      <c r="G40" s="1">
        <f t="shared" si="15"/>
        <v>0.93900062711870602</v>
      </c>
      <c r="H40" s="1">
        <f t="shared" si="15"/>
        <v>1.0129785506234601</v>
      </c>
      <c r="I40" s="1">
        <f t="shared" si="15"/>
        <v>0.97858527142610396</v>
      </c>
      <c r="J40" s="1">
        <f t="shared" si="15"/>
        <v>0.99437590837018597</v>
      </c>
      <c r="K40" s="1">
        <f t="shared" si="15"/>
        <v>0.93813535544161597</v>
      </c>
      <c r="L40" s="1">
        <f t="shared" si="15"/>
        <v>0.98810289822360098</v>
      </c>
      <c r="M40" s="1">
        <f t="shared" si="15"/>
        <v>0.83257619737254696</v>
      </c>
      <c r="N40" s="1">
        <f t="shared" si="15"/>
        <v>0.90114637402731401</v>
      </c>
    </row>
    <row r="42" spans="1:14" x14ac:dyDescent="0.25">
      <c r="A42" s="1" t="s">
        <v>27</v>
      </c>
      <c r="C42" s="1" t="s">
        <v>28</v>
      </c>
    </row>
    <row r="43" spans="1:14" x14ac:dyDescent="0.25">
      <c r="B43" s="1">
        <f t="shared" ref="B43:N43" si="16">(1.032-B33)/0.432</f>
        <v>0.48165777405674498</v>
      </c>
      <c r="C43" s="1">
        <f t="shared" si="16"/>
        <v>0.49868217918049201</v>
      </c>
      <c r="D43" s="1">
        <f t="shared" si="16"/>
        <v>0.47014134919618</v>
      </c>
      <c r="E43" s="1">
        <f t="shared" si="16"/>
        <v>0.30039830174236398</v>
      </c>
      <c r="F43" s="1">
        <f t="shared" si="16"/>
        <v>0.32142835549957099</v>
      </c>
      <c r="G43" s="1">
        <f t="shared" si="16"/>
        <v>0.32192906232488</v>
      </c>
      <c r="H43" s="1">
        <f t="shared" si="16"/>
        <v>0.15468962510251</v>
      </c>
      <c r="I43" s="1">
        <f t="shared" si="16"/>
        <v>0.39202954742742502</v>
      </c>
      <c r="J43" s="1">
        <f t="shared" si="16"/>
        <v>0.35597779795972501</v>
      </c>
      <c r="K43" s="1">
        <f t="shared" si="16"/>
        <v>0.14918179406462501</v>
      </c>
      <c r="L43" s="1">
        <f t="shared" si="16"/>
        <v>0.161199002601527</v>
      </c>
      <c r="M43" s="1">
        <f t="shared" si="16"/>
        <v>0.47064199260073802</v>
      </c>
      <c r="N43" s="1">
        <f t="shared" si="16"/>
        <v>0.26534806068334499</v>
      </c>
    </row>
    <row r="44" spans="1:14" x14ac:dyDescent="0.25">
      <c r="B44" s="1">
        <f t="shared" ref="B44:N44" si="17">(1.032-B34)/0.432</f>
        <v>0.472144288416387</v>
      </c>
      <c r="C44" s="1">
        <f t="shared" si="17"/>
        <v>0.45511988329264103</v>
      </c>
      <c r="D44" s="1">
        <f t="shared" si="17"/>
        <v>0.42407531399700299</v>
      </c>
      <c r="E44" s="1">
        <f t="shared" si="17"/>
        <v>5.1041129843591299E-2</v>
      </c>
      <c r="F44" s="1">
        <f t="shared" si="17"/>
        <v>1.5490366998628701E-2</v>
      </c>
      <c r="G44" s="1">
        <f t="shared" si="17"/>
        <v>-4.0376282111481698E-3</v>
      </c>
      <c r="H44" s="1">
        <f t="shared" si="17"/>
        <v>9.1098511529970005E-2</v>
      </c>
      <c r="I44" s="1">
        <f t="shared" si="17"/>
        <v>5.9052700192803197E-2</v>
      </c>
      <c r="J44" s="1">
        <f t="shared" si="17"/>
        <v>-1.6054853162832498E-2</v>
      </c>
      <c r="K44" s="1">
        <f t="shared" si="17"/>
        <v>8.2586354481811897E-2</v>
      </c>
      <c r="L44" s="1">
        <f t="shared" si="17"/>
        <v>0.124145934987397</v>
      </c>
      <c r="M44" s="1">
        <f t="shared" si="17"/>
        <v>0.27886743222538302</v>
      </c>
      <c r="N44" s="1">
        <f t="shared" si="17"/>
        <v>0.20576281062869001</v>
      </c>
    </row>
    <row r="45" spans="1:14" x14ac:dyDescent="0.25">
      <c r="B45" s="1">
        <f t="shared" ref="B45:N45" si="18">(1.032-B35)/0.432</f>
        <v>0.62586432425166005</v>
      </c>
      <c r="C45" s="1">
        <f t="shared" si="18"/>
        <v>0.64539235676776097</v>
      </c>
      <c r="D45" s="1">
        <f t="shared" si="18"/>
        <v>0.52722300916480302</v>
      </c>
      <c r="E45" s="1">
        <f t="shared" si="18"/>
        <v>0.30139969077080803</v>
      </c>
      <c r="F45" s="1">
        <f t="shared" si="18"/>
        <v>0.200755548382716</v>
      </c>
      <c r="G45" s="1">
        <f t="shared" si="18"/>
        <v>0.18773696573989901</v>
      </c>
      <c r="H45" s="1">
        <f t="shared" si="18"/>
        <v>0.236807238160298</v>
      </c>
      <c r="I45" s="1">
        <f t="shared" si="18"/>
        <v>0.215276400726754</v>
      </c>
      <c r="J45" s="1">
        <f t="shared" si="18"/>
        <v>0.23129931758723499</v>
      </c>
      <c r="K45" s="1">
        <f t="shared" si="18"/>
        <v>0.35297356148462999</v>
      </c>
      <c r="L45" s="1">
        <f t="shared" si="18"/>
        <v>0.192243443563411</v>
      </c>
      <c r="M45" s="1">
        <f t="shared" si="18"/>
        <v>0.39253028782842603</v>
      </c>
      <c r="N45" s="1">
        <f t="shared" si="18"/>
        <v>0.38401802184580203</v>
      </c>
    </row>
    <row r="46" spans="1:14" x14ac:dyDescent="0.25">
      <c r="B46" s="1">
        <f t="shared" ref="B46:N46" si="19">(1.032-B36)/0.432</f>
        <v>0.618353548024556</v>
      </c>
      <c r="C46" s="1">
        <f t="shared" si="19"/>
        <v>0.45011270312057899</v>
      </c>
      <c r="D46" s="1">
        <f t="shared" si="19"/>
        <v>0.40204384062016602</v>
      </c>
      <c r="E46" s="1">
        <f t="shared" si="19"/>
        <v>4.4531810542440202E-2</v>
      </c>
      <c r="F46" s="1">
        <f t="shared" si="19"/>
        <v>-6.5125054701216004E-2</v>
      </c>
      <c r="G46" s="1">
        <f t="shared" si="19"/>
        <v>-5.56114571418867E-2</v>
      </c>
      <c r="H46" s="1">
        <f t="shared" si="19"/>
        <v>0.120640802916995</v>
      </c>
      <c r="I46" s="1">
        <f t="shared" si="19"/>
        <v>8.1584936354434603E-2</v>
      </c>
      <c r="J46" s="1">
        <f t="shared" si="19"/>
        <v>-4.1090754023142599E-2</v>
      </c>
      <c r="K46" s="1">
        <f t="shared" si="19"/>
        <v>2.1498890685420401E-2</v>
      </c>
      <c r="L46" s="1">
        <f t="shared" si="19"/>
        <v>-2.7070622680815799E-2</v>
      </c>
      <c r="M46" s="1">
        <f t="shared" si="19"/>
        <v>0.171213245057668</v>
      </c>
      <c r="N46" s="1">
        <f t="shared" si="19"/>
        <v>0.26084164329607701</v>
      </c>
    </row>
    <row r="47" spans="1:14" x14ac:dyDescent="0.25">
      <c r="B47" s="1">
        <f t="shared" ref="B47:N47" si="20">(1.032-B37)/0.432</f>
        <v>0.53723744412157504</v>
      </c>
      <c r="C47" s="1">
        <f t="shared" si="20"/>
        <v>0.48816709335789699</v>
      </c>
      <c r="D47" s="1">
        <f t="shared" si="20"/>
        <v>0.42707962956150503</v>
      </c>
      <c r="E47" s="1">
        <f t="shared" si="20"/>
        <v>0.42707965940656401</v>
      </c>
      <c r="F47" s="1">
        <f t="shared" si="20"/>
        <v>0.41556323454599903</v>
      </c>
      <c r="G47" s="1">
        <f t="shared" si="20"/>
        <v>0.31642119398067098</v>
      </c>
      <c r="H47" s="1">
        <f t="shared" si="20"/>
        <v>0.107121535832663</v>
      </c>
      <c r="I47" s="1">
        <f t="shared" si="20"/>
        <v>0.27836672913070598</v>
      </c>
      <c r="J47" s="1">
        <f t="shared" si="20"/>
        <v>0.190741235790686</v>
      </c>
      <c r="K47" s="1">
        <f t="shared" si="20"/>
        <v>0.250827242661123</v>
      </c>
      <c r="L47" s="1">
        <f t="shared" si="20"/>
        <v>0.116635052810333</v>
      </c>
      <c r="M47" s="1">
        <f t="shared" si="20"/>
        <v>0.32943981019917901</v>
      </c>
      <c r="N47" s="1">
        <f t="shared" si="20"/>
        <v>0.22879573496246899</v>
      </c>
    </row>
    <row r="48" spans="1:14" x14ac:dyDescent="0.25">
      <c r="B48" s="1">
        <f t="shared" ref="B48:N48" si="21">(1.032-B38)/0.432</f>
        <v>0.58931201494556695</v>
      </c>
      <c r="C48" s="1">
        <f t="shared" si="21"/>
        <v>0.441600504289339</v>
      </c>
      <c r="D48" s="1">
        <f t="shared" si="21"/>
        <v>0.56277403315403296</v>
      </c>
      <c r="E48" s="1">
        <f t="shared" si="21"/>
        <v>0.28537684852297601</v>
      </c>
      <c r="F48" s="1">
        <f t="shared" si="21"/>
        <v>0.25232944148033098</v>
      </c>
      <c r="G48" s="1">
        <f t="shared" si="21"/>
        <v>0.24882444818945201</v>
      </c>
      <c r="H48" s="1">
        <f t="shared" si="21"/>
        <v>0.17471835623652901</v>
      </c>
      <c r="I48" s="1">
        <f t="shared" si="21"/>
        <v>0.25132800096915903</v>
      </c>
      <c r="J48" s="1">
        <f t="shared" si="21"/>
        <v>0.21277281064072301</v>
      </c>
      <c r="K48" s="1">
        <f t="shared" si="21"/>
        <v>0.33344567819382398</v>
      </c>
      <c r="L48" s="1">
        <f t="shared" si="21"/>
        <v>0.14918176123506</v>
      </c>
      <c r="M48" s="1">
        <f t="shared" si="21"/>
        <v>0.42958318980247701</v>
      </c>
      <c r="N48" s="1">
        <f t="shared" si="21"/>
        <v>0.41155743817949603</v>
      </c>
    </row>
    <row r="49" spans="1:14" x14ac:dyDescent="0.25">
      <c r="B49" s="1">
        <f t="shared" ref="B49:N49" si="22">(1.032-B39)/0.432</f>
        <v>0.66892602299479398</v>
      </c>
      <c r="C49" s="1">
        <f t="shared" si="22"/>
        <v>0.411056809697467</v>
      </c>
      <c r="D49" s="1">
        <f t="shared" si="22"/>
        <v>0.65440519154229604</v>
      </c>
      <c r="E49" s="1">
        <f t="shared" si="22"/>
        <v>0.145676678409004</v>
      </c>
      <c r="F49" s="1">
        <f t="shared" si="22"/>
        <v>9.26007849618245E-2</v>
      </c>
      <c r="G49" s="1">
        <f t="shared" si="22"/>
        <v>6.2557703929452396E-2</v>
      </c>
      <c r="H49" s="1">
        <f t="shared" si="22"/>
        <v>-4.4094947222902699E-2</v>
      </c>
      <c r="I49" s="1">
        <f t="shared" si="22"/>
        <v>0.13766518267243999</v>
      </c>
      <c r="J49" s="1">
        <f t="shared" si="22"/>
        <v>8.9095669306203995E-2</v>
      </c>
      <c r="K49" s="1">
        <f t="shared" si="22"/>
        <v>0.226792867370403</v>
      </c>
      <c r="L49" s="1">
        <f t="shared" si="22"/>
        <v>0.11763665299257001</v>
      </c>
      <c r="M49" s="1">
        <f t="shared" si="22"/>
        <v>0.29739390186557002</v>
      </c>
      <c r="N49" s="1">
        <f t="shared" si="22"/>
        <v>0.43509116260439301</v>
      </c>
    </row>
    <row r="50" spans="1:14" x14ac:dyDescent="0.25">
      <c r="B50" s="1">
        <f t="shared" ref="B50:N50" si="23">(1.032-B40)/0.432</f>
        <v>0.54124315244515397</v>
      </c>
      <c r="C50" s="1">
        <f t="shared" si="23"/>
        <v>0.38401804422959601</v>
      </c>
      <c r="D50" s="1">
        <f t="shared" si="23"/>
        <v>0.51971231351935798</v>
      </c>
      <c r="E50" s="1">
        <f t="shared" si="23"/>
        <v>0.14517602754318101</v>
      </c>
      <c r="F50" s="1">
        <f t="shared" si="23"/>
        <v>0.187736984393061</v>
      </c>
      <c r="G50" s="1">
        <f t="shared" si="23"/>
        <v>0.21527632611410699</v>
      </c>
      <c r="H50" s="1">
        <f t="shared" si="23"/>
        <v>4.4031132816063599E-2</v>
      </c>
      <c r="I50" s="1">
        <f t="shared" si="23"/>
        <v>0.123645205032167</v>
      </c>
      <c r="J50" s="1">
        <f t="shared" si="23"/>
        <v>8.7092804698643903E-2</v>
      </c>
      <c r="K50" s="1">
        <f t="shared" si="23"/>
        <v>0.21727926981107301</v>
      </c>
      <c r="L50" s="1">
        <f t="shared" si="23"/>
        <v>0.101613661519442</v>
      </c>
      <c r="M50" s="1">
        <f t="shared" si="23"/>
        <v>0.461629172748733</v>
      </c>
      <c r="N50" s="1">
        <f t="shared" si="23"/>
        <v>0.30290191197381</v>
      </c>
    </row>
    <row r="52" spans="1:14" x14ac:dyDescent="0.25">
      <c r="A52" s="1" t="s">
        <v>29</v>
      </c>
    </row>
    <row r="53" spans="1:14" x14ac:dyDescent="0.25">
      <c r="B53" s="1">
        <f t="shared" ref="B53:N53" si="24">10^(B43)</f>
        <v>3.0315014064287</v>
      </c>
      <c r="C53" s="4">
        <f t="shared" si="24"/>
        <v>3.1526966056954899</v>
      </c>
      <c r="D53" s="2">
        <f t="shared" si="24"/>
        <v>2.9521699087875599</v>
      </c>
      <c r="E53" s="4">
        <f t="shared" si="24"/>
        <v>1.99709305661475</v>
      </c>
      <c r="F53" s="1">
        <f t="shared" si="24"/>
        <v>2.0961789502433898</v>
      </c>
      <c r="G53" s="1">
        <f t="shared" si="24"/>
        <v>2.0985970707114099</v>
      </c>
      <c r="H53" s="4">
        <f t="shared" si="24"/>
        <v>1.4278731433780401</v>
      </c>
      <c r="I53" s="1">
        <f t="shared" si="24"/>
        <v>2.4662071210772001</v>
      </c>
      <c r="J53" s="1">
        <f t="shared" si="24"/>
        <v>2.2697488146215101</v>
      </c>
      <c r="K53" s="4">
        <f t="shared" si="24"/>
        <v>1.4098788449900801</v>
      </c>
      <c r="L53" s="2">
        <f t="shared" si="24"/>
        <v>1.4494358625170201</v>
      </c>
      <c r="M53" s="2">
        <f t="shared" si="24"/>
        <v>2.9555750559263099</v>
      </c>
      <c r="N53" s="2">
        <f t="shared" si="24"/>
        <v>1.84224785989512</v>
      </c>
    </row>
    <row r="54" spans="1:14" x14ac:dyDescent="0.25">
      <c r="B54" s="1">
        <f t="shared" ref="B54:N54" si="25">10^(B44)</f>
        <v>2.9658165779519701</v>
      </c>
      <c r="C54" s="4">
        <f t="shared" si="25"/>
        <v>2.85180537544543</v>
      </c>
      <c r="D54" s="4">
        <f t="shared" si="25"/>
        <v>2.6550659553266001</v>
      </c>
      <c r="E54" s="1">
        <f t="shared" si="25"/>
        <v>1.1247114846847901</v>
      </c>
      <c r="F54" s="1">
        <f t="shared" si="25"/>
        <v>1.03631161794983</v>
      </c>
      <c r="G54" s="1">
        <f t="shared" si="25"/>
        <v>0.99074610079369396</v>
      </c>
      <c r="H54" s="2">
        <f t="shared" si="25"/>
        <v>1.23338457157927</v>
      </c>
      <c r="I54" s="1">
        <f t="shared" si="25"/>
        <v>1.14565195407017</v>
      </c>
      <c r="J54" s="1">
        <f t="shared" si="25"/>
        <v>0.96370729577816705</v>
      </c>
      <c r="K54" s="1">
        <f t="shared" si="25"/>
        <v>1.20944564344502</v>
      </c>
      <c r="L54" s="4">
        <f t="shared" si="25"/>
        <v>1.33090156267371</v>
      </c>
      <c r="M54" s="4">
        <f t="shared" si="25"/>
        <v>1.9004980670338401</v>
      </c>
      <c r="N54" s="4">
        <f t="shared" si="25"/>
        <v>1.60606386373386</v>
      </c>
    </row>
    <row r="55" spans="1:14" x14ac:dyDescent="0.25">
      <c r="B55" s="4">
        <f t="shared" ref="B55:N55" si="26">10^(B45)</f>
        <v>4.2253659111934301</v>
      </c>
      <c r="C55" s="2">
        <f t="shared" si="26"/>
        <v>4.4196955773975803</v>
      </c>
      <c r="D55" s="2">
        <f t="shared" si="26"/>
        <v>3.3668441162473499</v>
      </c>
      <c r="E55" s="4">
        <f t="shared" si="26"/>
        <v>2.0017032337236502</v>
      </c>
      <c r="F55" s="4">
        <f t="shared" si="26"/>
        <v>1.5876528538541299</v>
      </c>
      <c r="G55" s="4">
        <f t="shared" si="26"/>
        <v>1.5407669912634501</v>
      </c>
      <c r="H55" s="1">
        <f t="shared" si="26"/>
        <v>1.7250720478850501</v>
      </c>
      <c r="I55" s="4">
        <f t="shared" si="26"/>
        <v>1.6416342362410501</v>
      </c>
      <c r="J55" s="4">
        <f t="shared" si="26"/>
        <v>1.7033320475702001</v>
      </c>
      <c r="K55" s="1">
        <f t="shared" si="26"/>
        <v>2.2541019851636301</v>
      </c>
      <c r="L55" s="2">
        <f t="shared" si="26"/>
        <v>1.5568380718932999</v>
      </c>
      <c r="M55" s="2">
        <f t="shared" si="26"/>
        <v>2.4690522913550002</v>
      </c>
      <c r="N55" s="2">
        <f t="shared" si="26"/>
        <v>2.4211295138599298</v>
      </c>
    </row>
    <row r="56" spans="1:14" x14ac:dyDescent="0.25">
      <c r="B56" s="4">
        <f t="shared" ref="B56:N56" si="27">10^(B46)</f>
        <v>4.15291983638111</v>
      </c>
      <c r="C56" s="2">
        <f t="shared" si="27"/>
        <v>2.8191144205726499</v>
      </c>
      <c r="D56" s="4">
        <f t="shared" si="27"/>
        <v>2.5237355225424798</v>
      </c>
      <c r="E56" s="1">
        <f t="shared" si="27"/>
        <v>1.1079797180173501</v>
      </c>
      <c r="F56" s="1">
        <f t="shared" si="27"/>
        <v>0.86074586550753396</v>
      </c>
      <c r="G56" s="1">
        <f t="shared" si="27"/>
        <v>0.87980928884804499</v>
      </c>
      <c r="H56" s="4">
        <f t="shared" si="27"/>
        <v>1.32020326635175</v>
      </c>
      <c r="I56" s="1">
        <f t="shared" si="27"/>
        <v>1.2066600554703499</v>
      </c>
      <c r="J56" s="1">
        <f t="shared" si="27"/>
        <v>0.90972314895788298</v>
      </c>
      <c r="K56" s="1">
        <f t="shared" si="27"/>
        <v>1.0507487709437699</v>
      </c>
      <c r="L56" s="2">
        <f t="shared" si="27"/>
        <v>0.93957051013440396</v>
      </c>
      <c r="M56" s="2">
        <f t="shared" si="27"/>
        <v>1.48324620234541</v>
      </c>
      <c r="N56" s="4">
        <f t="shared" si="27"/>
        <v>1.8232307768535101</v>
      </c>
    </row>
    <row r="57" spans="1:14" x14ac:dyDescent="0.25">
      <c r="B57" s="1">
        <f t="shared" ref="B57:N57" si="28">10^(B47)</f>
        <v>3.4453825050006701</v>
      </c>
      <c r="C57" s="4">
        <f t="shared" si="28"/>
        <v>3.0772805604687701</v>
      </c>
      <c r="D57" s="4">
        <f t="shared" si="28"/>
        <v>2.6734965595902702</v>
      </c>
      <c r="E57" s="1">
        <f t="shared" si="28"/>
        <v>2.6734967433150598</v>
      </c>
      <c r="F57" s="1">
        <f t="shared" si="28"/>
        <v>2.6035338859216499</v>
      </c>
      <c r="G57" s="1">
        <f t="shared" si="28"/>
        <v>2.0721500181685002</v>
      </c>
      <c r="H57" s="1">
        <f t="shared" si="28"/>
        <v>1.2797393847626699</v>
      </c>
      <c r="I57" s="4">
        <f t="shared" si="28"/>
        <v>1.89830822358158</v>
      </c>
      <c r="J57" s="4">
        <f t="shared" si="28"/>
        <v>1.5514623319682599</v>
      </c>
      <c r="K57" s="1">
        <f t="shared" si="28"/>
        <v>1.78166989871877</v>
      </c>
      <c r="L57" s="2">
        <f t="shared" si="28"/>
        <v>1.3080822507857</v>
      </c>
      <c r="M57" s="4">
        <f t="shared" si="28"/>
        <v>2.1352061427555502</v>
      </c>
      <c r="N57" s="4">
        <f t="shared" si="28"/>
        <v>1.6935410770003001</v>
      </c>
    </row>
    <row r="58" spans="1:14" x14ac:dyDescent="0.25">
      <c r="B58" s="4">
        <f t="shared" ref="B58:N58" si="29">10^(B48)</f>
        <v>3.8842932931050602</v>
      </c>
      <c r="C58" s="2">
        <f t="shared" si="29"/>
        <v>2.76439758115156</v>
      </c>
      <c r="D58" s="2">
        <f t="shared" si="29"/>
        <v>3.65404619236512</v>
      </c>
      <c r="E58" s="4">
        <f t="shared" si="29"/>
        <v>1.92919820214452</v>
      </c>
      <c r="F58" s="4">
        <f t="shared" si="29"/>
        <v>1.7878432595704701</v>
      </c>
      <c r="G58" s="4">
        <f t="shared" si="29"/>
        <v>1.77347245765594</v>
      </c>
      <c r="H58" s="4">
        <f t="shared" si="29"/>
        <v>1.4952656487704701</v>
      </c>
      <c r="I58" s="4">
        <f t="shared" si="29"/>
        <v>1.7837254177303301</v>
      </c>
      <c r="J58" s="4">
        <f t="shared" si="29"/>
        <v>1.6321978845441101</v>
      </c>
      <c r="K58" s="1">
        <f t="shared" si="29"/>
        <v>2.1549920790463002</v>
      </c>
      <c r="L58" s="2">
        <f t="shared" si="29"/>
        <v>1.4098787384133</v>
      </c>
      <c r="M58" s="2">
        <f t="shared" si="29"/>
        <v>2.6889528669576701</v>
      </c>
      <c r="N58" s="2">
        <f t="shared" si="29"/>
        <v>2.5796301141910201</v>
      </c>
    </row>
    <row r="59" spans="1:14" x14ac:dyDescent="0.25">
      <c r="B59" s="1">
        <f t="shared" ref="B59:N59" si="30">10^(B49)</f>
        <v>4.6657989709542003</v>
      </c>
      <c r="C59" s="2">
        <f t="shared" si="30"/>
        <v>2.57665818545824</v>
      </c>
      <c r="D59" s="2">
        <f t="shared" si="30"/>
        <v>4.5123750739077604</v>
      </c>
      <c r="E59" s="1">
        <f t="shared" si="30"/>
        <v>1.39854575189492</v>
      </c>
      <c r="F59" s="1">
        <f t="shared" si="30"/>
        <v>1.2376583749785499</v>
      </c>
      <c r="G59" s="1">
        <f t="shared" si="30"/>
        <v>1.15493542869581</v>
      </c>
      <c r="H59" s="1">
        <f t="shared" si="30"/>
        <v>0.90345193579952798</v>
      </c>
      <c r="I59" s="1">
        <f t="shared" si="30"/>
        <v>1.37298307192058</v>
      </c>
      <c r="J59" s="1">
        <f t="shared" si="30"/>
        <v>1.2277096495022699</v>
      </c>
      <c r="K59" s="4">
        <f t="shared" si="30"/>
        <v>1.6857488317283</v>
      </c>
      <c r="L59" s="4">
        <f t="shared" si="30"/>
        <v>1.31110252262069</v>
      </c>
      <c r="M59" s="4">
        <f t="shared" si="30"/>
        <v>1.9833250713661199</v>
      </c>
      <c r="N59" s="2">
        <f t="shared" si="30"/>
        <v>2.7232728893553202</v>
      </c>
    </row>
    <row r="60" spans="1:14" x14ac:dyDescent="0.25">
      <c r="B60" s="1">
        <f t="shared" ref="B60:N60" si="31">10^(B50)</f>
        <v>3.47730794190023</v>
      </c>
      <c r="C60" s="1">
        <f t="shared" si="31"/>
        <v>2.4211296386463799</v>
      </c>
      <c r="D60" s="2">
        <f t="shared" si="31"/>
        <v>3.3091184537831002</v>
      </c>
      <c r="E60" s="1">
        <f t="shared" si="31"/>
        <v>1.3969344495567899</v>
      </c>
      <c r="F60" s="4">
        <f t="shared" si="31"/>
        <v>1.54076705744015</v>
      </c>
      <c r="G60" s="4">
        <f t="shared" si="31"/>
        <v>1.64163395420508</v>
      </c>
      <c r="H60" s="1">
        <f t="shared" si="31"/>
        <v>1.1067031162074299</v>
      </c>
      <c r="I60" s="1">
        <f t="shared" si="31"/>
        <v>1.3293679529418401</v>
      </c>
      <c r="J60" s="1">
        <f t="shared" si="31"/>
        <v>1.22206077530659</v>
      </c>
      <c r="K60" s="4">
        <f t="shared" si="31"/>
        <v>1.6492225708302399</v>
      </c>
      <c r="L60" s="4">
        <f t="shared" si="31"/>
        <v>1.2636117670940199</v>
      </c>
      <c r="M60" s="2">
        <f t="shared" si="31"/>
        <v>2.8948707140323502</v>
      </c>
      <c r="N60" s="2">
        <f t="shared" si="31"/>
        <v>2.0086390981273898</v>
      </c>
    </row>
  </sheetData>
  <phoneticPr fontId="7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N62"/>
  <sheetViews>
    <sheetView tabSelected="1" topLeftCell="C44" zoomScale="145" zoomScaleNormal="145" workbookViewId="0">
      <selection activeCell="I66" sqref="I66"/>
    </sheetView>
  </sheetViews>
  <sheetFormatPr defaultColWidth="8.77734375" defaultRowHeight="14.4" x14ac:dyDescent="0.25"/>
  <cols>
    <col min="1" max="1" width="8.77734375" style="1"/>
    <col min="2" max="14" width="12.77734375" style="1"/>
    <col min="15" max="16384" width="8.77734375" style="1"/>
  </cols>
  <sheetData>
    <row r="2" spans="1:14" x14ac:dyDescent="0.25">
      <c r="A2" s="1" t="s">
        <v>9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1" t="s">
        <v>20</v>
      </c>
      <c r="H2" s="1" t="s">
        <v>21</v>
      </c>
      <c r="I2" s="1" t="s">
        <v>22</v>
      </c>
      <c r="J2" s="1" t="s">
        <v>23</v>
      </c>
      <c r="K2" s="1" t="s">
        <v>24</v>
      </c>
      <c r="L2" s="1" t="s">
        <v>25</v>
      </c>
      <c r="M2" s="1" t="s">
        <v>22</v>
      </c>
      <c r="N2" s="1" t="s">
        <v>23</v>
      </c>
    </row>
    <row r="3" spans="1:14" x14ac:dyDescent="0.25">
      <c r="B3" s="1">
        <v>0.44649999260902401</v>
      </c>
      <c r="C3" s="1">
        <v>0.44920000433921797</v>
      </c>
      <c r="D3" s="1">
        <v>0.46020001173019398</v>
      </c>
      <c r="E3" s="1">
        <v>0.47629999399185202</v>
      </c>
      <c r="F3" s="1">
        <v>0.50950000047683697</v>
      </c>
      <c r="G3" s="1">
        <v>0.51039999127388003</v>
      </c>
      <c r="H3" s="1">
        <v>0.53690001010894794</v>
      </c>
      <c r="I3" s="1">
        <v>0.50539999604225205</v>
      </c>
      <c r="J3" s="1">
        <v>0.50040000081062297</v>
      </c>
      <c r="K3" s="1">
        <v>0.51359998583793598</v>
      </c>
      <c r="L3" s="1">
        <v>0.53879998683929398</v>
      </c>
      <c r="M3" s="1">
        <v>0.47540000677108801</v>
      </c>
      <c r="N3" s="1">
        <v>0.51859998703002896</v>
      </c>
    </row>
    <row r="4" spans="1:14" x14ac:dyDescent="0.25">
      <c r="B4" s="1">
        <v>0.42710000276565602</v>
      </c>
      <c r="C4" s="1">
        <v>0.47189998626709001</v>
      </c>
      <c r="D4" s="1">
        <v>0.46619999408721902</v>
      </c>
      <c r="E4" s="1">
        <v>0.49509998559951801</v>
      </c>
      <c r="F4" s="1">
        <v>0.50150000452995303</v>
      </c>
      <c r="G4" s="1">
        <v>0.50109999775886505</v>
      </c>
      <c r="H4" s="1">
        <v>0.51010000109672504</v>
      </c>
      <c r="I4" s="1">
        <v>0.497499996423721</v>
      </c>
      <c r="J4" s="1">
        <v>0.51500000000000001</v>
      </c>
      <c r="K4" s="1">
        <v>0.51070000290870698</v>
      </c>
      <c r="L4" s="1">
        <v>0.53429998517036403</v>
      </c>
      <c r="M4" s="1">
        <v>0.49259999990463299</v>
      </c>
      <c r="N4" s="1">
        <v>0.50789999961853005</v>
      </c>
    </row>
    <row r="5" spans="1:14" x14ac:dyDescent="0.25">
      <c r="B5" s="1">
        <v>0.44470000386238101</v>
      </c>
      <c r="C5" s="1">
        <v>0.45730000734329201</v>
      </c>
      <c r="D5" s="1">
        <v>0.46810001134872398</v>
      </c>
      <c r="E5" s="1">
        <v>0.47940000295639001</v>
      </c>
      <c r="F5" s="1">
        <v>0.52729999423026996</v>
      </c>
      <c r="G5" s="1">
        <v>0.522000008821487</v>
      </c>
      <c r="H5" s="1">
        <v>0.528599991798401</v>
      </c>
      <c r="I5" s="1">
        <v>0.519800001382828</v>
      </c>
      <c r="J5" s="1">
        <v>0.52549999356269805</v>
      </c>
      <c r="K5" s="1">
        <v>0.53329999804496797</v>
      </c>
      <c r="L5" s="1">
        <v>0.54799999356269802</v>
      </c>
      <c r="M5" s="1">
        <v>0.49590001106262199</v>
      </c>
      <c r="N5" s="1">
        <v>0.49459999799728399</v>
      </c>
    </row>
    <row r="7" spans="1:14" x14ac:dyDescent="0.25">
      <c r="A7" s="1" t="s">
        <v>10</v>
      </c>
    </row>
    <row r="8" spans="1:14" x14ac:dyDescent="0.25">
      <c r="B8" s="1">
        <v>8.7099999189376803E-2</v>
      </c>
      <c r="C8" s="1">
        <v>7.1699999272823306E-2</v>
      </c>
      <c r="D8" s="1">
        <v>6.7800000309944194E-2</v>
      </c>
      <c r="E8" s="1">
        <v>5.92000000178814E-2</v>
      </c>
      <c r="F8" s="1">
        <v>8.2800000905990601E-2</v>
      </c>
      <c r="G8" s="1">
        <v>8.2999996840953799E-2</v>
      </c>
      <c r="H8" s="1">
        <v>8.3899997174739796E-2</v>
      </c>
      <c r="I8" s="1">
        <v>7.1299999952316298E-2</v>
      </c>
      <c r="J8" s="1">
        <v>6.9499999284744304E-2</v>
      </c>
      <c r="K8" s="1">
        <v>6.6299997270107297E-2</v>
      </c>
      <c r="L8" s="1">
        <v>8.6499996483326E-2</v>
      </c>
      <c r="M8" s="1">
        <v>6.4099997282028198E-2</v>
      </c>
      <c r="N8" s="1">
        <v>8.2599997520446805E-2</v>
      </c>
    </row>
    <row r="9" spans="1:14" x14ac:dyDescent="0.25">
      <c r="B9" s="1">
        <v>7.5000002980232197E-2</v>
      </c>
      <c r="C9" s="1">
        <v>8.5699997842311901E-2</v>
      </c>
      <c r="D9" s="1">
        <v>6.9399997591972407E-2</v>
      </c>
      <c r="E9" s="1">
        <v>7.5000002980232197E-2</v>
      </c>
      <c r="F9" s="1">
        <v>6.4499996602535206E-2</v>
      </c>
      <c r="G9" s="1">
        <v>6.1500001698732397E-2</v>
      </c>
      <c r="H9" s="1">
        <v>6.3900001347065E-2</v>
      </c>
      <c r="I9" s="1">
        <v>7.5999997556209606E-2</v>
      </c>
      <c r="J9" s="1">
        <v>7.5999997556209606E-2</v>
      </c>
      <c r="K9" s="1">
        <v>7.8900001943111406E-2</v>
      </c>
      <c r="L9" s="1">
        <v>8.07000026106834E-2</v>
      </c>
      <c r="M9" s="1">
        <v>7.11999982595444E-2</v>
      </c>
      <c r="N9" s="1">
        <v>8.2900002598762498E-2</v>
      </c>
    </row>
    <row r="10" spans="1:14" x14ac:dyDescent="0.25">
      <c r="B10" s="1">
        <v>9.1099999845027896E-2</v>
      </c>
      <c r="C10" s="1">
        <v>7.7699996531009702E-2</v>
      </c>
      <c r="D10" s="1">
        <v>7.6300002634525299E-2</v>
      </c>
      <c r="E10" s="1">
        <v>6.25E-2</v>
      </c>
      <c r="F10" s="1">
        <v>8.7700001895427704E-2</v>
      </c>
      <c r="G10" s="1">
        <v>8.7899997830390902E-2</v>
      </c>
      <c r="H10" s="1">
        <v>8.6400002241134602E-2</v>
      </c>
      <c r="I10" s="1">
        <v>9.2900000512599903E-2</v>
      </c>
      <c r="J10" s="1">
        <v>9.08999964594841E-2</v>
      </c>
      <c r="K10" s="1">
        <v>9.9600002169609098E-2</v>
      </c>
      <c r="L10" s="1">
        <v>9.1200001537799794E-2</v>
      </c>
      <c r="M10" s="1">
        <v>7.8199997544288594E-2</v>
      </c>
      <c r="N10" s="1">
        <v>6.3199996948242201E-2</v>
      </c>
    </row>
    <row r="12" spans="1:14" x14ac:dyDescent="0.25">
      <c r="A12" s="1" t="s">
        <v>11</v>
      </c>
    </row>
    <row r="13" spans="1:14" x14ac:dyDescent="0.25">
      <c r="B13" s="1">
        <f t="shared" ref="B13:N13" si="0">B3-B8</f>
        <v>0.35939999341964701</v>
      </c>
      <c r="C13" s="1">
        <f t="shared" si="0"/>
        <v>0.37750000506639497</v>
      </c>
      <c r="D13" s="1">
        <f t="shared" si="0"/>
        <v>0.39240001142024999</v>
      </c>
      <c r="E13" s="1">
        <f t="shared" si="0"/>
        <v>0.41709999397397002</v>
      </c>
      <c r="F13" s="1">
        <f t="shared" si="0"/>
        <v>0.42669999957084698</v>
      </c>
      <c r="G13" s="1">
        <f t="shared" si="0"/>
        <v>0.42739999443292598</v>
      </c>
      <c r="H13" s="1">
        <f t="shared" si="0"/>
        <v>0.453000012934208</v>
      </c>
      <c r="I13" s="1">
        <f t="shared" si="0"/>
        <v>0.43409999608993499</v>
      </c>
      <c r="J13" s="1">
        <f t="shared" si="0"/>
        <v>0.43090000152587898</v>
      </c>
      <c r="K13" s="1">
        <f t="shared" si="0"/>
        <v>0.44729998856782899</v>
      </c>
      <c r="L13" s="1">
        <f t="shared" si="0"/>
        <v>0.45229999035596802</v>
      </c>
      <c r="M13" s="1">
        <f t="shared" si="0"/>
        <v>0.41130000948905898</v>
      </c>
      <c r="N13" s="1">
        <f t="shared" si="0"/>
        <v>0.43599998950958302</v>
      </c>
    </row>
    <row r="14" spans="1:14" x14ac:dyDescent="0.25">
      <c r="B14" s="1">
        <f t="shared" ref="B14:N14" si="1">B4-B9</f>
        <v>0.352099999785423</v>
      </c>
      <c r="C14" s="1">
        <f t="shared" si="1"/>
        <v>0.38619998842477798</v>
      </c>
      <c r="D14" s="1">
        <f t="shared" si="1"/>
        <v>0.396799996495247</v>
      </c>
      <c r="E14" s="1">
        <f t="shared" si="1"/>
        <v>0.42009998261928599</v>
      </c>
      <c r="F14" s="1">
        <f t="shared" si="1"/>
        <v>0.437000007927418</v>
      </c>
      <c r="G14" s="1">
        <f t="shared" si="1"/>
        <v>0.439599996060133</v>
      </c>
      <c r="H14" s="1">
        <f t="shared" si="1"/>
        <v>0.44619999974966101</v>
      </c>
      <c r="I14" s="1">
        <f t="shared" si="1"/>
        <v>0.42149999886751199</v>
      </c>
      <c r="J14" s="1">
        <f t="shared" si="1"/>
        <v>0.43900000244379001</v>
      </c>
      <c r="K14" s="1">
        <f t="shared" si="1"/>
        <v>0.43180000096559501</v>
      </c>
      <c r="L14" s="1">
        <f t="shared" si="1"/>
        <v>0.45359998255968098</v>
      </c>
      <c r="M14" s="1">
        <f t="shared" si="1"/>
        <v>0.42140000164508801</v>
      </c>
      <c r="N14" s="1">
        <f t="shared" si="1"/>
        <v>0.42499999701976798</v>
      </c>
    </row>
    <row r="15" spans="1:14" x14ac:dyDescent="0.25">
      <c r="B15" s="1">
        <f t="shared" ref="B15:N15" si="2">B5-B10</f>
        <v>0.35360000401735298</v>
      </c>
      <c r="C15" s="1">
        <f t="shared" si="2"/>
        <v>0.37960001081228301</v>
      </c>
      <c r="D15" s="1">
        <f t="shared" si="2"/>
        <v>0.39180000871419901</v>
      </c>
      <c r="E15" s="1">
        <f t="shared" si="2"/>
        <v>0.41690000295639001</v>
      </c>
      <c r="F15" s="1">
        <f t="shared" si="2"/>
        <v>0.43959999233484298</v>
      </c>
      <c r="G15" s="1">
        <f t="shared" si="2"/>
        <v>0.43410001099109702</v>
      </c>
      <c r="H15" s="1">
        <f t="shared" si="2"/>
        <v>0.44219998955726603</v>
      </c>
      <c r="I15" s="1">
        <f t="shared" si="2"/>
        <v>0.426900000870228</v>
      </c>
      <c r="J15" s="1">
        <f t="shared" si="2"/>
        <v>0.43459999710321401</v>
      </c>
      <c r="K15" s="1">
        <f t="shared" si="2"/>
        <v>0.43369999587535901</v>
      </c>
      <c r="L15" s="1">
        <f t="shared" si="2"/>
        <v>0.45679999202489902</v>
      </c>
      <c r="M15" s="1">
        <f t="shared" si="2"/>
        <v>0.41770001351833302</v>
      </c>
      <c r="N15" s="1">
        <f t="shared" si="2"/>
        <v>0.43140000104904203</v>
      </c>
    </row>
    <row r="17" spans="1:14" x14ac:dyDescent="0.25">
      <c r="A17" s="1" t="s">
        <v>13</v>
      </c>
      <c r="C17" s="1" t="s">
        <v>26</v>
      </c>
    </row>
    <row r="18" spans="1:14" x14ac:dyDescent="0.25">
      <c r="B18" s="1">
        <f t="shared" ref="B18:N18" si="3">B13/0.462300022443136</f>
        <v>0.77741720954351501</v>
      </c>
      <c r="C18" s="1">
        <f t="shared" si="3"/>
        <v>0.81656929859402805</v>
      </c>
      <c r="D18" s="1">
        <f t="shared" si="3"/>
        <v>0.84879946435329501</v>
      </c>
      <c r="E18" s="1">
        <f t="shared" si="3"/>
        <v>0.90222793364729903</v>
      </c>
      <c r="F18" s="1">
        <f t="shared" si="3"/>
        <v>0.92299368128049697</v>
      </c>
      <c r="G18" s="1">
        <f t="shared" si="3"/>
        <v>0.924507838382157</v>
      </c>
      <c r="H18" s="1">
        <f t="shared" si="3"/>
        <v>0.97988317313985795</v>
      </c>
      <c r="I18" s="1">
        <f t="shared" si="3"/>
        <v>0.93900059488604204</v>
      </c>
      <c r="J18" s="1">
        <f t="shared" si="3"/>
        <v>0.93207869480231498</v>
      </c>
      <c r="K18" s="1">
        <f t="shared" si="3"/>
        <v>0.96755346496408201</v>
      </c>
      <c r="L18" s="1">
        <f t="shared" si="3"/>
        <v>0.97836895608544405</v>
      </c>
      <c r="M18" s="1">
        <f t="shared" si="3"/>
        <v>0.88968200199395497</v>
      </c>
      <c r="N18" s="1">
        <f t="shared" si="3"/>
        <v>0.94311046580840596</v>
      </c>
    </row>
    <row r="19" spans="1:14" x14ac:dyDescent="0.25">
      <c r="B19" s="1">
        <f t="shared" ref="B19:N19" si="4">B14/0.462300022443136</f>
        <v>0.76162661192328296</v>
      </c>
      <c r="C19" s="1">
        <f t="shared" si="4"/>
        <v>0.83538821041757905</v>
      </c>
      <c r="D19" s="1">
        <f t="shared" si="4"/>
        <v>0.85831706085208803</v>
      </c>
      <c r="E19" s="1">
        <f t="shared" si="4"/>
        <v>0.908717201438075</v>
      </c>
      <c r="F19" s="1">
        <f t="shared" si="4"/>
        <v>0.94527360309866704</v>
      </c>
      <c r="G19" s="1">
        <f t="shared" si="4"/>
        <v>0.95089763080036405</v>
      </c>
      <c r="H19" s="1">
        <f t="shared" si="4"/>
        <v>0.96517408195571597</v>
      </c>
      <c r="I19" s="1">
        <f t="shared" si="4"/>
        <v>0.91174557301553505</v>
      </c>
      <c r="J19" s="1">
        <f t="shared" si="4"/>
        <v>0.949599786138424</v>
      </c>
      <c r="K19" s="1">
        <f t="shared" si="4"/>
        <v>0.93402548129598595</v>
      </c>
      <c r="L19" s="1">
        <f t="shared" si="4"/>
        <v>0.98118096590721005</v>
      </c>
      <c r="M19" s="1">
        <f t="shared" si="4"/>
        <v>0.91152926927863498</v>
      </c>
      <c r="N19" s="1">
        <f t="shared" si="4"/>
        <v>0.91931641009609499</v>
      </c>
    </row>
    <row r="20" spans="1:14" x14ac:dyDescent="0.25">
      <c r="B20" s="1">
        <f t="shared" ref="B20:N20" si="5">B15/0.462300022443136</f>
        <v>0.76487126725339205</v>
      </c>
      <c r="C20" s="1">
        <f t="shared" si="5"/>
        <v>0.82111181566938896</v>
      </c>
      <c r="D20" s="1">
        <f t="shared" si="5"/>
        <v>0.84750160002942998</v>
      </c>
      <c r="E20" s="1">
        <f t="shared" si="5"/>
        <v>0.90179533358701103</v>
      </c>
      <c r="F20" s="1">
        <f t="shared" si="5"/>
        <v>0.95089762274219802</v>
      </c>
      <c r="G20" s="1">
        <f t="shared" si="5"/>
        <v>0.93900062711870602</v>
      </c>
      <c r="H20" s="1">
        <f t="shared" si="5"/>
        <v>0.95652167010581901</v>
      </c>
      <c r="I20" s="1">
        <f t="shared" si="5"/>
        <v>0.92342630358132305</v>
      </c>
      <c r="J20" s="1">
        <f t="shared" si="5"/>
        <v>0.94008214580320704</v>
      </c>
      <c r="K20" s="1">
        <f t="shared" si="5"/>
        <v>0.93813535544161597</v>
      </c>
      <c r="L20" s="1">
        <f t="shared" si="5"/>
        <v>0.98810289822360098</v>
      </c>
      <c r="M20" s="1">
        <f t="shared" si="5"/>
        <v>0.90352583439407397</v>
      </c>
      <c r="N20" s="1">
        <f t="shared" si="5"/>
        <v>0.93316024249621399</v>
      </c>
    </row>
    <row r="22" spans="1:14" x14ac:dyDescent="0.25">
      <c r="A22" s="1" t="s">
        <v>27</v>
      </c>
      <c r="C22" s="1" t="s">
        <v>28</v>
      </c>
    </row>
    <row r="23" spans="1:14" x14ac:dyDescent="0.25">
      <c r="B23" s="1">
        <f t="shared" ref="B23:N23" si="6">(1.032-B18)/0.432</f>
        <v>0.58931201494556695</v>
      </c>
      <c r="C23" s="1">
        <f t="shared" si="6"/>
        <v>0.49868217918049201</v>
      </c>
      <c r="D23" s="1">
        <f t="shared" si="6"/>
        <v>0.42407531399700299</v>
      </c>
      <c r="E23" s="1">
        <f t="shared" si="6"/>
        <v>0.30039830174236398</v>
      </c>
      <c r="F23" s="1">
        <f t="shared" si="6"/>
        <v>0.25232944148033098</v>
      </c>
      <c r="G23" s="1">
        <f t="shared" si="6"/>
        <v>0.24882444818945201</v>
      </c>
      <c r="H23" s="1">
        <f t="shared" si="6"/>
        <v>0.120640802916995</v>
      </c>
      <c r="I23" s="1">
        <f t="shared" si="6"/>
        <v>0.215276400726754</v>
      </c>
      <c r="J23" s="1">
        <f t="shared" si="6"/>
        <v>0.23129931758723499</v>
      </c>
      <c r="K23" s="1">
        <f t="shared" si="6"/>
        <v>0.14918179406462501</v>
      </c>
      <c r="L23" s="1">
        <f t="shared" si="6"/>
        <v>0.124145934987397</v>
      </c>
      <c r="M23" s="1">
        <f t="shared" si="6"/>
        <v>0.32943981019917901</v>
      </c>
      <c r="N23" s="1">
        <f t="shared" si="6"/>
        <v>0.20576281062869001</v>
      </c>
    </row>
    <row r="24" spans="1:14" x14ac:dyDescent="0.25">
      <c r="B24" s="1">
        <f t="shared" ref="B24:N24" si="7">(1.032-B19)/0.432</f>
        <v>0.62586432425166005</v>
      </c>
      <c r="C24" s="1">
        <f t="shared" si="7"/>
        <v>0.45511988329264103</v>
      </c>
      <c r="D24" s="1">
        <f t="shared" si="7"/>
        <v>0.40204384062016602</v>
      </c>
      <c r="E24" s="1">
        <f t="shared" si="7"/>
        <v>0.28537684852297601</v>
      </c>
      <c r="F24" s="1">
        <f t="shared" si="7"/>
        <v>0.200755548382716</v>
      </c>
      <c r="G24" s="1">
        <f t="shared" si="7"/>
        <v>0.18773696573989901</v>
      </c>
      <c r="H24" s="1">
        <f t="shared" si="7"/>
        <v>0.15468962510251</v>
      </c>
      <c r="I24" s="1">
        <f t="shared" si="7"/>
        <v>0.27836672913070598</v>
      </c>
      <c r="J24" s="1">
        <f t="shared" si="7"/>
        <v>0.190741235790686</v>
      </c>
      <c r="K24" s="1">
        <f t="shared" si="7"/>
        <v>0.226792867370403</v>
      </c>
      <c r="L24" s="1">
        <f t="shared" si="7"/>
        <v>0.11763665299257001</v>
      </c>
      <c r="M24" s="1">
        <f t="shared" si="7"/>
        <v>0.27886743222538302</v>
      </c>
      <c r="N24" s="1">
        <f t="shared" si="7"/>
        <v>0.26084164329607701</v>
      </c>
    </row>
    <row r="25" spans="1:14" x14ac:dyDescent="0.25">
      <c r="B25" s="1">
        <f t="shared" ref="B25:N25" si="8">(1.032-B20)/0.432</f>
        <v>0.618353548024556</v>
      </c>
      <c r="C25" s="1">
        <f t="shared" si="8"/>
        <v>0.48816709335789699</v>
      </c>
      <c r="D25" s="1">
        <f t="shared" si="8"/>
        <v>0.42707962956150503</v>
      </c>
      <c r="E25" s="1">
        <f t="shared" si="8"/>
        <v>0.30139969077080803</v>
      </c>
      <c r="F25" s="1">
        <f t="shared" si="8"/>
        <v>0.187736984393061</v>
      </c>
      <c r="G25" s="1">
        <f t="shared" si="8"/>
        <v>0.21527632611410699</v>
      </c>
      <c r="H25" s="1">
        <f t="shared" si="8"/>
        <v>0.17471835623652901</v>
      </c>
      <c r="I25" s="1">
        <f t="shared" si="8"/>
        <v>0.25132800096915903</v>
      </c>
      <c r="J25" s="1">
        <f t="shared" si="8"/>
        <v>0.21277281064072301</v>
      </c>
      <c r="K25" s="1">
        <f t="shared" si="8"/>
        <v>0.21727926981107301</v>
      </c>
      <c r="L25" s="1">
        <f t="shared" si="8"/>
        <v>0.101613661519442</v>
      </c>
      <c r="M25" s="1">
        <f t="shared" si="8"/>
        <v>0.29739390186557002</v>
      </c>
      <c r="N25" s="1">
        <f t="shared" si="8"/>
        <v>0.22879573496246899</v>
      </c>
    </row>
    <row r="27" spans="1:14" x14ac:dyDescent="0.25">
      <c r="A27" s="1" t="s">
        <v>29</v>
      </c>
    </row>
    <row r="28" spans="1:14" s="2" customFormat="1" x14ac:dyDescent="0.25">
      <c r="B28" s="2">
        <f t="shared" ref="B28:N28" si="9">10^(B23)</f>
        <v>3.8842932931050602</v>
      </c>
      <c r="C28" s="2">
        <f t="shared" si="9"/>
        <v>3.1526966056954899</v>
      </c>
      <c r="D28" s="2">
        <f t="shared" si="9"/>
        <v>2.6550659553266001</v>
      </c>
      <c r="E28" s="2">
        <f t="shared" si="9"/>
        <v>1.99709305661475</v>
      </c>
      <c r="F28" s="2">
        <f t="shared" si="9"/>
        <v>1.7878432595704701</v>
      </c>
      <c r="G28" s="2">
        <f t="shared" si="9"/>
        <v>1.77347245765594</v>
      </c>
      <c r="H28" s="2">
        <f t="shared" si="9"/>
        <v>1.32020326635175</v>
      </c>
      <c r="I28" s="2">
        <f t="shared" si="9"/>
        <v>1.6416342362410501</v>
      </c>
      <c r="J28" s="2">
        <f t="shared" si="9"/>
        <v>1.7033320475702001</v>
      </c>
      <c r="K28" s="2">
        <f t="shared" si="9"/>
        <v>1.4098788449900801</v>
      </c>
      <c r="L28" s="2">
        <f t="shared" si="9"/>
        <v>1.33090156267371</v>
      </c>
      <c r="M28" s="2">
        <f t="shared" si="9"/>
        <v>2.1352061427555502</v>
      </c>
      <c r="N28" s="2">
        <f t="shared" si="9"/>
        <v>1.60606386373386</v>
      </c>
    </row>
    <row r="29" spans="1:14" s="2" customFormat="1" x14ac:dyDescent="0.25">
      <c r="B29" s="2">
        <f t="shared" ref="B29:N29" si="10">10^(B24)</f>
        <v>4.2253659111934301</v>
      </c>
      <c r="C29" s="2">
        <f t="shared" si="10"/>
        <v>2.85180537544543</v>
      </c>
      <c r="D29" s="2">
        <f t="shared" si="10"/>
        <v>2.5237355225424798</v>
      </c>
      <c r="E29" s="2">
        <f t="shared" si="10"/>
        <v>1.92919820214452</v>
      </c>
      <c r="F29" s="2">
        <f t="shared" si="10"/>
        <v>1.5876528538541299</v>
      </c>
      <c r="G29" s="2">
        <f t="shared" si="10"/>
        <v>1.5407669912634501</v>
      </c>
      <c r="H29" s="2">
        <f t="shared" si="10"/>
        <v>1.4278731433780401</v>
      </c>
      <c r="I29" s="2">
        <f t="shared" si="10"/>
        <v>1.89830822358158</v>
      </c>
      <c r="J29" s="2">
        <f t="shared" si="10"/>
        <v>1.5514623319682599</v>
      </c>
      <c r="K29" s="2">
        <f t="shared" si="10"/>
        <v>1.6857488317283</v>
      </c>
      <c r="L29" s="2">
        <f t="shared" si="10"/>
        <v>1.31110252262069</v>
      </c>
      <c r="M29" s="2">
        <f t="shared" si="10"/>
        <v>1.9004980670338401</v>
      </c>
      <c r="N29" s="2">
        <f t="shared" si="10"/>
        <v>1.8232307768535101</v>
      </c>
    </row>
    <row r="30" spans="1:14" s="2" customFormat="1" x14ac:dyDescent="0.25">
      <c r="B30" s="2">
        <f t="shared" ref="B30:N30" si="11">10^(B25)</f>
        <v>4.15291983638111</v>
      </c>
      <c r="C30" s="2">
        <f t="shared" si="11"/>
        <v>3.0772805604687701</v>
      </c>
      <c r="D30" s="2">
        <f t="shared" si="11"/>
        <v>2.6734965595902702</v>
      </c>
      <c r="E30" s="2">
        <f t="shared" si="11"/>
        <v>2.0017032337236502</v>
      </c>
      <c r="F30" s="2">
        <f t="shared" si="11"/>
        <v>1.54076705744015</v>
      </c>
      <c r="G30" s="2">
        <f t="shared" si="11"/>
        <v>1.64163395420508</v>
      </c>
      <c r="H30" s="2">
        <f t="shared" si="11"/>
        <v>1.4952656487704701</v>
      </c>
      <c r="I30" s="2">
        <f t="shared" si="11"/>
        <v>1.7837254177303301</v>
      </c>
      <c r="J30" s="2">
        <f t="shared" si="11"/>
        <v>1.6321978845441101</v>
      </c>
      <c r="K30" s="2">
        <f t="shared" si="11"/>
        <v>1.6492225708302399</v>
      </c>
      <c r="L30" s="2">
        <f t="shared" si="11"/>
        <v>1.2636117670940199</v>
      </c>
      <c r="M30" s="2">
        <f t="shared" si="11"/>
        <v>1.9833250713661199</v>
      </c>
      <c r="N30" s="2">
        <f t="shared" si="11"/>
        <v>1.6935410770003001</v>
      </c>
    </row>
    <row r="32" spans="1:14" x14ac:dyDescent="0.25">
      <c r="A32" s="1" t="s">
        <v>30</v>
      </c>
    </row>
    <row r="33" spans="1:14" x14ac:dyDescent="0.25">
      <c r="B33" s="1">
        <f>B28*2.5</f>
        <v>9.7107332327626494</v>
      </c>
      <c r="C33" s="1">
        <f t="shared" ref="C33:N33" si="12">C28*2.5</f>
        <v>7.8817415142387297</v>
      </c>
      <c r="D33" s="1">
        <f t="shared" si="12"/>
        <v>6.6376648883165004</v>
      </c>
      <c r="E33" s="1">
        <f t="shared" si="12"/>
        <v>4.9927326415368602</v>
      </c>
      <c r="F33" s="1">
        <f t="shared" si="12"/>
        <v>4.4696081489261701</v>
      </c>
      <c r="G33" s="1">
        <f t="shared" si="12"/>
        <v>4.4336811441398503</v>
      </c>
      <c r="H33" s="1">
        <f t="shared" si="12"/>
        <v>3.30050816587937</v>
      </c>
      <c r="I33" s="1">
        <f t="shared" si="12"/>
        <v>4.1040855906026197</v>
      </c>
      <c r="J33" s="1">
        <f t="shared" si="12"/>
        <v>4.2583301189254898</v>
      </c>
      <c r="K33" s="1">
        <f t="shared" si="12"/>
        <v>3.5246971124751898</v>
      </c>
      <c r="L33" s="1">
        <f t="shared" si="12"/>
        <v>3.3272539066842799</v>
      </c>
      <c r="M33" s="1">
        <f t="shared" si="12"/>
        <v>5.3380153568888797</v>
      </c>
      <c r="N33" s="1">
        <f t="shared" si="12"/>
        <v>4.0151596593346603</v>
      </c>
    </row>
    <row r="34" spans="1:14" x14ac:dyDescent="0.25">
      <c r="B34" s="1">
        <f>B29*2.5</f>
        <v>10.563414777983599</v>
      </c>
      <c r="C34" s="1">
        <f t="shared" ref="C34:N34" si="13">C29*2.5</f>
        <v>7.1295134386135697</v>
      </c>
      <c r="D34" s="1">
        <f t="shared" si="13"/>
        <v>6.3093388063561999</v>
      </c>
      <c r="E34" s="1">
        <f t="shared" si="13"/>
        <v>4.8229955053613098</v>
      </c>
      <c r="F34" s="1">
        <f t="shared" si="13"/>
        <v>3.9691321346353199</v>
      </c>
      <c r="G34" s="1">
        <f t="shared" si="13"/>
        <v>3.8519174781586298</v>
      </c>
      <c r="H34" s="1">
        <f t="shared" si="13"/>
        <v>3.5696828584451099</v>
      </c>
      <c r="I34" s="1">
        <f t="shared" si="13"/>
        <v>4.7457705589539403</v>
      </c>
      <c r="J34" s="1">
        <f t="shared" si="13"/>
        <v>3.8786558299206502</v>
      </c>
      <c r="K34" s="1">
        <f t="shared" si="13"/>
        <v>4.2143720793207597</v>
      </c>
      <c r="L34" s="1">
        <f t="shared" si="13"/>
        <v>3.2777563065517299</v>
      </c>
      <c r="M34" s="1">
        <f t="shared" si="13"/>
        <v>4.7512451675846101</v>
      </c>
      <c r="N34" s="1">
        <f t="shared" si="13"/>
        <v>4.5580769421337797</v>
      </c>
    </row>
    <row r="35" spans="1:14" x14ac:dyDescent="0.25">
      <c r="B35" s="1">
        <f>B30*2.5</f>
        <v>10.382299590952799</v>
      </c>
      <c r="C35" s="1">
        <f t="shared" ref="C35:N35" si="14">C30*2.5</f>
        <v>7.6932014011719199</v>
      </c>
      <c r="D35" s="1">
        <f t="shared" si="14"/>
        <v>6.6837413989756698</v>
      </c>
      <c r="E35" s="1">
        <f t="shared" si="14"/>
        <v>5.0042580843091304</v>
      </c>
      <c r="F35" s="1">
        <f t="shared" si="14"/>
        <v>3.8519176436003799</v>
      </c>
      <c r="G35" s="1">
        <f t="shared" si="14"/>
        <v>4.1040848855126901</v>
      </c>
      <c r="H35" s="1">
        <f t="shared" si="14"/>
        <v>3.7381641219261899</v>
      </c>
      <c r="I35" s="1">
        <f t="shared" si="14"/>
        <v>4.4593135443258296</v>
      </c>
      <c r="J35" s="1">
        <f t="shared" si="14"/>
        <v>4.0804947113602896</v>
      </c>
      <c r="K35" s="1">
        <f t="shared" si="14"/>
        <v>4.1230564270755901</v>
      </c>
      <c r="L35" s="1">
        <f t="shared" si="14"/>
        <v>3.1590294177350602</v>
      </c>
      <c r="M35" s="1">
        <f t="shared" si="14"/>
        <v>4.9583126784152904</v>
      </c>
      <c r="N35" s="1">
        <f t="shared" si="14"/>
        <v>4.2338526925007498</v>
      </c>
    </row>
    <row r="36" spans="1:14" x14ac:dyDescent="0.25">
      <c r="A36" s="1" t="s">
        <v>12</v>
      </c>
      <c r="B36" s="1">
        <f>AVERAGE(B33:B35)</f>
        <v>10.218815867232999</v>
      </c>
      <c r="C36" s="1">
        <f t="shared" ref="C36:N36" si="15">AVERAGE(C33:C35)</f>
        <v>7.5681521180080704</v>
      </c>
      <c r="D36" s="1">
        <f t="shared" si="15"/>
        <v>6.5435816978827903</v>
      </c>
      <c r="E36" s="1">
        <f t="shared" si="15"/>
        <v>4.93999541040243</v>
      </c>
      <c r="F36" s="1">
        <f t="shared" si="15"/>
        <v>4.09688597572063</v>
      </c>
      <c r="G36" s="1">
        <f t="shared" si="15"/>
        <v>4.1298945026037197</v>
      </c>
      <c r="H36" s="1">
        <f t="shared" si="15"/>
        <v>3.5361183820835498</v>
      </c>
      <c r="I36" s="1">
        <f t="shared" si="15"/>
        <v>4.4363898979608001</v>
      </c>
      <c r="J36" s="1">
        <f t="shared" si="15"/>
        <v>4.0724935534021496</v>
      </c>
      <c r="K36" s="1">
        <f t="shared" si="15"/>
        <v>3.95404187295718</v>
      </c>
      <c r="L36" s="1">
        <f t="shared" si="15"/>
        <v>3.2546798769903602</v>
      </c>
      <c r="M36" s="1">
        <f t="shared" si="15"/>
        <v>5.0158577342962598</v>
      </c>
      <c r="N36" s="1">
        <f t="shared" si="15"/>
        <v>4.2690297646563904</v>
      </c>
    </row>
    <row r="37" spans="1:14" x14ac:dyDescent="0.25">
      <c r="A37" s="1" t="s">
        <v>31</v>
      </c>
      <c r="B37" s="1">
        <f>_xlfn.STDEV.P(B33:B35)</f>
        <v>0.36679844631718</v>
      </c>
      <c r="C37" s="1">
        <f t="shared" ref="C37:N37" si="16">_xlfn.STDEV.P(C33:C35)</f>
        <v>0.31957238288534201</v>
      </c>
      <c r="D37" s="1">
        <f t="shared" si="16"/>
        <v>0.16669945087228999</v>
      </c>
      <c r="E37" s="1">
        <f t="shared" si="16"/>
        <v>8.2865120497099598E-2</v>
      </c>
      <c r="F37" s="1">
        <f t="shared" si="16"/>
        <v>0.26786336445588899</v>
      </c>
      <c r="G37" s="1">
        <f t="shared" si="16"/>
        <v>0.23820417434736599</v>
      </c>
      <c r="H37" s="1">
        <f t="shared" si="16"/>
        <v>0.180241716445597</v>
      </c>
      <c r="I37" s="1">
        <f t="shared" si="16"/>
        <v>0.262467800976313</v>
      </c>
      <c r="J37" s="1">
        <f t="shared" si="16"/>
        <v>0.155104599822907</v>
      </c>
      <c r="K37" s="1">
        <f t="shared" si="16"/>
        <v>0.30587288165864401</v>
      </c>
      <c r="L37" s="1">
        <f t="shared" si="16"/>
        <v>7.0589238422169395E-2</v>
      </c>
      <c r="M37" s="1">
        <f t="shared" si="16"/>
        <v>0.24297927052364099</v>
      </c>
      <c r="N37" s="1">
        <f t="shared" si="16"/>
        <v>0.22303641525481499</v>
      </c>
    </row>
    <row r="39" spans="1:14" x14ac:dyDescent="0.25">
      <c r="A39" s="1" t="s">
        <v>32</v>
      </c>
      <c r="B39" s="1">
        <v>10.218815867232999</v>
      </c>
      <c r="C39" s="1">
        <v>7.5681521180080704</v>
      </c>
      <c r="D39" s="1">
        <v>6.5435816978827903</v>
      </c>
      <c r="E39" s="1">
        <v>4.93999541040243</v>
      </c>
      <c r="F39" s="1">
        <v>4.09688597572063</v>
      </c>
      <c r="G39" s="1">
        <v>4.1298945026037197</v>
      </c>
      <c r="H39" s="1">
        <v>3.5361183820835498</v>
      </c>
      <c r="I39" s="1">
        <v>4.4363898979608001</v>
      </c>
      <c r="J39" s="1">
        <v>4.0724935534021496</v>
      </c>
      <c r="K39" s="1">
        <v>3.95404187295718</v>
      </c>
      <c r="L39" s="1">
        <v>3.2546798769903602</v>
      </c>
      <c r="M39" s="1">
        <v>5.0158577342962598</v>
      </c>
      <c r="N39" s="1">
        <v>4.2690297646563904</v>
      </c>
    </row>
    <row r="40" spans="1:14" x14ac:dyDescent="0.25">
      <c r="A40" s="1" t="s">
        <v>33</v>
      </c>
      <c r="B40" s="1">
        <v>0.36679844631718</v>
      </c>
      <c r="C40" s="1">
        <v>0.31957238288534201</v>
      </c>
      <c r="D40" s="1">
        <v>0.16669945087228999</v>
      </c>
      <c r="E40" s="1">
        <v>8.2865120497099598E-2</v>
      </c>
      <c r="F40" s="1">
        <v>0.26786336445588899</v>
      </c>
      <c r="G40" s="1">
        <v>0.23820417434736599</v>
      </c>
      <c r="H40" s="1">
        <v>0.180241716445597</v>
      </c>
      <c r="I40" s="1">
        <v>0.262467800976313</v>
      </c>
      <c r="J40" s="1">
        <v>0.155104599822907</v>
      </c>
      <c r="K40" s="1">
        <v>0.30587288165864401</v>
      </c>
      <c r="L40" s="1">
        <v>7.0589238422169395E-2</v>
      </c>
      <c r="M40" s="1">
        <v>0.24297927052364099</v>
      </c>
      <c r="N40" s="1">
        <v>0.22303641525481499</v>
      </c>
    </row>
    <row r="42" spans="1:14" x14ac:dyDescent="0.25">
      <c r="A42" t="s">
        <v>34</v>
      </c>
      <c r="B42"/>
      <c r="C42"/>
      <c r="D42"/>
      <c r="E42"/>
      <c r="F42"/>
      <c r="G42"/>
      <c r="H42"/>
    </row>
    <row r="43" spans="1:14" x14ac:dyDescent="0.25">
      <c r="A43"/>
      <c r="B43"/>
      <c r="C43" t="s">
        <v>35</v>
      </c>
      <c r="D43" t="s">
        <v>36</v>
      </c>
      <c r="E43" t="s">
        <v>37</v>
      </c>
      <c r="F43" t="s">
        <v>36</v>
      </c>
      <c r="G43" t="s">
        <v>38</v>
      </c>
      <c r="H43" t="s">
        <v>36</v>
      </c>
    </row>
    <row r="44" spans="1:14" x14ac:dyDescent="0.25">
      <c r="A44"/>
      <c r="B44" t="s">
        <v>15</v>
      </c>
      <c r="C44" s="1">
        <v>10.218815867232999</v>
      </c>
      <c r="D44" s="1">
        <v>0.36679844631718</v>
      </c>
      <c r="E44"/>
      <c r="F44"/>
      <c r="G44"/>
      <c r="H44" s="3"/>
    </row>
    <row r="45" spans="1:14" x14ac:dyDescent="0.25">
      <c r="A45"/>
      <c r="B45" t="s">
        <v>39</v>
      </c>
      <c r="C45" s="3"/>
      <c r="D45" s="3"/>
      <c r="E45" s="1">
        <v>7.5681521180080704</v>
      </c>
      <c r="F45" s="1">
        <v>0.31957238288534201</v>
      </c>
      <c r="G45" s="1">
        <v>6.5435816978827903</v>
      </c>
      <c r="H45" s="1">
        <v>0.16669945087228999</v>
      </c>
    </row>
    <row r="46" spans="1:14" x14ac:dyDescent="0.25">
      <c r="A46"/>
      <c r="B46" t="s">
        <v>40</v>
      </c>
      <c r="C46" s="3"/>
      <c r="D46" s="3"/>
      <c r="G46" s="1">
        <v>5.0158577342962598</v>
      </c>
      <c r="H46" s="1">
        <v>0.24297927052364099</v>
      </c>
    </row>
    <row r="47" spans="1:14" x14ac:dyDescent="0.25">
      <c r="A47"/>
      <c r="B47" t="s">
        <v>41</v>
      </c>
      <c r="C47" s="3"/>
      <c r="D47" s="3"/>
      <c r="E47" s="1">
        <v>4.93999541040243</v>
      </c>
      <c r="F47" s="1">
        <v>8.2865120497099598E-2</v>
      </c>
      <c r="G47" s="1">
        <v>4.4363898979608001</v>
      </c>
      <c r="H47" s="1">
        <v>0.262467800976313</v>
      </c>
    </row>
    <row r="48" spans="1:14" x14ac:dyDescent="0.25">
      <c r="A48"/>
      <c r="B48" t="s">
        <v>42</v>
      </c>
      <c r="C48" s="3"/>
      <c r="D48" s="3"/>
      <c r="E48" s="1">
        <v>4.2690297646563904</v>
      </c>
      <c r="F48" s="1">
        <v>0.22303641525481499</v>
      </c>
    </row>
    <row r="49" spans="1:8" x14ac:dyDescent="0.25">
      <c r="A49"/>
      <c r="B49" t="s">
        <v>43</v>
      </c>
      <c r="C49" s="3"/>
      <c r="D49" s="3"/>
      <c r="E49" s="1">
        <v>4.09688597572063</v>
      </c>
      <c r="F49" s="1">
        <v>0.26786336445588899</v>
      </c>
      <c r="G49" s="1">
        <v>4.0724935534021496</v>
      </c>
      <c r="H49" s="1">
        <v>0.155104599822907</v>
      </c>
    </row>
    <row r="50" spans="1:8" x14ac:dyDescent="0.25">
      <c r="A50"/>
      <c r="B50" t="s">
        <v>44</v>
      </c>
      <c r="C50" s="3"/>
      <c r="D50" s="3"/>
      <c r="E50" s="1">
        <v>4.1298945026037197</v>
      </c>
      <c r="F50" s="1">
        <v>0.23820417434736599</v>
      </c>
      <c r="G50" s="1">
        <v>3.95404187295718</v>
      </c>
      <c r="H50" s="1">
        <v>0.30587288165864401</v>
      </c>
    </row>
    <row r="51" spans="1:8" x14ac:dyDescent="0.25">
      <c r="A51"/>
      <c r="B51" t="s">
        <v>45</v>
      </c>
      <c r="C51" s="3"/>
      <c r="D51" s="3"/>
      <c r="E51" s="1">
        <v>3.5361183820835498</v>
      </c>
      <c r="F51" s="1">
        <v>0.180241716445597</v>
      </c>
      <c r="G51" s="1">
        <v>3.2546798769903602</v>
      </c>
      <c r="H51" s="1">
        <v>7.0589238422169395E-2</v>
      </c>
    </row>
    <row r="52" spans="1:8" x14ac:dyDescent="0.25">
      <c r="A52"/>
      <c r="B52"/>
      <c r="C52" s="3"/>
      <c r="D52" s="3"/>
      <c r="E52"/>
      <c r="F52" s="3"/>
    </row>
    <row r="53" spans="1:8" x14ac:dyDescent="0.25">
      <c r="A53"/>
      <c r="B53"/>
      <c r="C53" s="3"/>
      <c r="D53" s="3"/>
    </row>
    <row r="54" spans="1:8" x14ac:dyDescent="0.25">
      <c r="A54"/>
      <c r="B54"/>
      <c r="C54" s="3"/>
      <c r="D54" s="3"/>
    </row>
    <row r="55" spans="1:8" x14ac:dyDescent="0.25">
      <c r="A55"/>
      <c r="B55"/>
      <c r="C55" s="3"/>
      <c r="D55" s="3"/>
      <c r="E55"/>
      <c r="F55" s="3"/>
    </row>
    <row r="56" spans="1:8" x14ac:dyDescent="0.25">
      <c r="A56"/>
      <c r="B56"/>
      <c r="C56" s="3"/>
      <c r="D56" s="3"/>
      <c r="E56"/>
      <c r="F56" s="3"/>
    </row>
    <row r="57" spans="1:8" x14ac:dyDescent="0.25">
      <c r="A57"/>
      <c r="B57"/>
      <c r="C57" s="3"/>
      <c r="D57" s="3"/>
      <c r="E57"/>
      <c r="F57" s="3"/>
      <c r="G57" s="3"/>
      <c r="H57" s="3"/>
    </row>
    <row r="58" spans="1:8" x14ac:dyDescent="0.25">
      <c r="A58"/>
      <c r="B58"/>
      <c r="C58" s="3"/>
      <c r="D58" s="3"/>
      <c r="E58"/>
      <c r="F58" s="3"/>
      <c r="G58" s="3"/>
      <c r="H58" s="3"/>
    </row>
    <row r="59" spans="1:8" x14ac:dyDescent="0.25">
      <c r="A59" s="3"/>
      <c r="B59"/>
      <c r="C59" s="3"/>
      <c r="D59" s="3"/>
      <c r="E59" s="3"/>
      <c r="F59" s="3"/>
      <c r="G59" s="3"/>
      <c r="H59" s="3"/>
    </row>
    <row r="60" spans="1:8" x14ac:dyDescent="0.25">
      <c r="A60" s="3"/>
      <c r="B60"/>
      <c r="C60" s="3"/>
      <c r="D60" s="3"/>
      <c r="E60" s="3"/>
      <c r="F60" s="3"/>
      <c r="G60" s="3"/>
      <c r="H60" s="3"/>
    </row>
    <row r="61" spans="1:8" x14ac:dyDescent="0.25">
      <c r="A61"/>
      <c r="B61"/>
      <c r="C61" s="3"/>
      <c r="D61" s="3"/>
      <c r="E61"/>
      <c r="F61" s="3"/>
      <c r="G61" s="3"/>
      <c r="H61"/>
    </row>
    <row r="62" spans="1:8" x14ac:dyDescent="0.25">
      <c r="A62"/>
      <c r="B62"/>
      <c r="C62" s="3"/>
      <c r="D62" s="3"/>
      <c r="E62"/>
      <c r="F62" s="3"/>
      <c r="G62" s="3"/>
      <c r="H62"/>
    </row>
  </sheetData>
  <phoneticPr fontId="7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原始数据</vt:lpstr>
      <vt:lpstr>标曲</vt:lpstr>
      <vt:lpstr>数据处理</vt:lpstr>
      <vt:lpstr>挑选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28717</dc:creator>
  <cp:lastModifiedBy>Dudy Lee</cp:lastModifiedBy>
  <dcterms:created xsi:type="dcterms:W3CDTF">2026-03-20T10:16:23Z</dcterms:created>
  <dcterms:modified xsi:type="dcterms:W3CDTF">2026-03-21T14:27:15Z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1DBB9E0E6F3046A7B4CB42F166BE2A6D_11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