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3"/>
  </bookViews>
  <sheets>
    <sheet name="OD" sheetId="1" r:id="rId1"/>
    <sheet name="标曲" sheetId="2" r:id="rId2"/>
    <sheet name="数据处理" sheetId="3" r:id="rId3"/>
    <sheet name="数据选择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<sst xmlns="http://schemas.openxmlformats.org/spreadsheetml/2006/main" count="129" uniqueCount="70">
  <si>
    <t>&lt;&gt;</t>
  </si>
  <si>
    <t>A</t>
  </si>
  <si>
    <t>B</t>
  </si>
  <si>
    <t>C</t>
  </si>
  <si>
    <t>D</t>
  </si>
  <si>
    <t>E</t>
  </si>
  <si>
    <t>F</t>
  </si>
  <si>
    <t>G</t>
  </si>
  <si>
    <t>H</t>
  </si>
  <si>
    <t>原始数据</t>
  </si>
  <si>
    <t>0.447800010442734</t>
  </si>
  <si>
    <t>OD值</t>
  </si>
  <si>
    <t>数据处理</t>
  </si>
  <si>
    <t>标曲</t>
  </si>
  <si>
    <t>y=-0.3823x+1.209</t>
  </si>
  <si>
    <t>N</t>
  </si>
  <si>
    <t>X</t>
  </si>
  <si>
    <t>log</t>
  </si>
  <si>
    <t>文本转换</t>
  </si>
  <si>
    <t>表格</t>
  </si>
  <si>
    <t>未超声</t>
  </si>
  <si>
    <t>超声</t>
  </si>
  <si>
    <t>1：1</t>
  </si>
  <si>
    <t>干法</t>
  </si>
  <si>
    <t>1h</t>
  </si>
  <si>
    <t>2h</t>
  </si>
  <si>
    <t>湿法</t>
  </si>
  <si>
    <t>1：2</t>
  </si>
  <si>
    <t>柱状图数据</t>
  </si>
  <si>
    <t>IgG结合力 (μg/mL)</t>
  </si>
  <si>
    <t>1：1干法1h</t>
  </si>
  <si>
    <t>1：1湿法1h</t>
  </si>
  <si>
    <t>1：1干法2h</t>
  </si>
  <si>
    <t>1：1湿法2h</t>
  </si>
  <si>
    <t>1：2干法1h</t>
  </si>
  <si>
    <t>1：2湿法1h</t>
  </si>
  <si>
    <t>1：2干法2h</t>
  </si>
  <si>
    <t>1：2湿法2h</t>
  </si>
  <si>
    <t>数据文本</t>
  </si>
  <si>
    <t>数据选择</t>
  </si>
  <si>
    <t>数据整理1</t>
  </si>
  <si>
    <t>平均值</t>
  </si>
  <si>
    <t>标准差</t>
  </si>
  <si>
    <t>平均值数据</t>
  </si>
  <si>
    <t>标准差数据</t>
  </si>
  <si>
    <t>数据整理2</t>
  </si>
  <si>
    <t>误差</t>
  </si>
  <si>
    <t>a</t>
  </si>
  <si>
    <t>1: 1干法1 h</t>
  </si>
  <si>
    <t>b</t>
  </si>
  <si>
    <t>d</t>
  </si>
  <si>
    <t>1: 1干法2 h</t>
  </si>
  <si>
    <t>f</t>
  </si>
  <si>
    <t>1: 1湿法1 h</t>
  </si>
  <si>
    <t>1: 1湿法2 h</t>
  </si>
  <si>
    <t>c</t>
  </si>
  <si>
    <t>1: 2干法1 h</t>
  </si>
  <si>
    <t>1: 2干法2 h</t>
  </si>
  <si>
    <t>e</t>
  </si>
  <si>
    <t>1: 2湿法1 h</t>
  </si>
  <si>
    <t>1: 2湿法2 h</t>
  </si>
  <si>
    <t>数据整理3</t>
  </si>
  <si>
    <t>1: 1干法1h</t>
  </si>
  <si>
    <t>1: 1干法2h</t>
  </si>
  <si>
    <t>1: 1湿法1h</t>
  </si>
  <si>
    <t>1: 1湿法2h</t>
  </si>
  <si>
    <t>1: 2干法1h</t>
  </si>
  <si>
    <t>1: 2干法2h</t>
  </si>
  <si>
    <t>1: 2湿法1h</t>
  </si>
  <si>
    <t>1: 2湿法2h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</si>
</sst>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标曲!$B$41:$B$45</c:f>
              <c:numCache>
                <c:formatCode>General</c:formatCode>
                <c:ptCount val="5"/>
                <c:pt idx="0">
                  <c:v>0</c:v>
                </c:pt>
                <c:pt idx="1">
                  <c:v>0.301029995663981</c:v>
                </c:pt>
                <c:pt idx="2">
                  <c:v>0.602059991327962</c:v>
                </c:pt>
                <c:pt idx="3">
                  <c:v>0.903089986991944</c:v>
                </c:pt>
                <c:pt idx="4">
                  <c:v>1.20411998265592</c:v>
                </c:pt>
              </c:numCache>
            </c:numRef>
          </c:xVal>
          <c:yVal>
            <c:numRef>
              <c:f>标曲!$C$41:$C$45</c:f>
              <c:numCache>
                <c:formatCode>General</c:formatCode>
                <c:ptCount val="5"/>
                <c:pt idx="0">
                  <c:v>1.20655611087688</c:v>
                </c:pt>
                <c:pt idx="1">
                  <c:v>1.09340438809781</c:v>
                </c:pt>
                <c:pt idx="2">
                  <c:v>0.981832588628365</c:v>
                </c:pt>
                <c:pt idx="3">
                  <c:v>0.869075876102374</c:v>
                </c:pt>
                <c:pt idx="4">
                  <c:v>0.743285943873233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55996"/>
        <c:axId val="528450907"/>
      </c:scatterChart>
      <c:valAx>
        <c:axId val="1657559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450907"/>
        <c:crosses val="autoZero"/>
        <c:crossBetween val="midCat"/>
      </c:valAx>
      <c:valAx>
        <c:axId val="5284509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75599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b573d3-8adc-43dd-8565-574946c6ca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β-Lg-阿拉伯糖糖基化-IgG结合力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310785241248817"/>
          <c:y val="0.06134969325153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数据选择!$C$26</c:f>
              <c:strCache>
                <c:ptCount val="1"/>
                <c:pt idx="0">
                  <c:v>未超声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数据选择!$D$27:$D$35</c:f>
                <c:numCache>
                  <c:formatCode>General</c:formatCode>
                  <c:ptCount val="9"/>
                  <c:pt idx="0">
                    <c:v>1.0503</c:v>
                  </c:pt>
                  <c:pt idx="1">
                    <c:v>0.53638</c:v>
                  </c:pt>
                  <c:pt idx="2">
                    <c:v>0.20579</c:v>
                  </c:pt>
                  <c:pt idx="3">
                    <c:v>0.67722</c:v>
                  </c:pt>
                  <c:pt idx="4">
                    <c:v>0.16383</c:v>
                  </c:pt>
                  <c:pt idx="5">
                    <c:v>0.44894</c:v>
                  </c:pt>
                  <c:pt idx="6">
                    <c:v>0.18008</c:v>
                  </c:pt>
                  <c:pt idx="7">
                    <c:v>0.3561</c:v>
                  </c:pt>
                  <c:pt idx="8">
                    <c:v>0.78184</c:v>
                  </c:pt>
                </c:numCache>
              </c:numRef>
            </c:plus>
            <c:minus>
              <c:numRef>
                <c:f>数据选择!$D$27:$D$35</c:f>
                <c:numCache>
                  <c:formatCode>General</c:formatCode>
                  <c:ptCount val="9"/>
                  <c:pt idx="0">
                    <c:v>1.0503</c:v>
                  </c:pt>
                  <c:pt idx="1">
                    <c:v>0.53638</c:v>
                  </c:pt>
                  <c:pt idx="2">
                    <c:v>0.20579</c:v>
                  </c:pt>
                  <c:pt idx="3">
                    <c:v>0.67722</c:v>
                  </c:pt>
                  <c:pt idx="4">
                    <c:v>0.16383</c:v>
                  </c:pt>
                  <c:pt idx="5">
                    <c:v>0.44894</c:v>
                  </c:pt>
                  <c:pt idx="6">
                    <c:v>0.18008</c:v>
                  </c:pt>
                  <c:pt idx="7">
                    <c:v>0.3561</c:v>
                  </c:pt>
                  <c:pt idx="8">
                    <c:v>0.78184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数据选择!$B$27:$B$35</c:f>
              <c:strCache>
                <c:ptCount val="9"/>
                <c:pt idx="0">
                  <c:v>N</c:v>
                </c:pt>
                <c:pt idx="1">
                  <c:v>1: 1干法1 h</c:v>
                </c:pt>
                <c:pt idx="2">
                  <c:v>1: 1干法2 h</c:v>
                </c:pt>
                <c:pt idx="3">
                  <c:v>1: 1湿法1 h</c:v>
                </c:pt>
                <c:pt idx="4">
                  <c:v>1: 1湿法2 h</c:v>
                </c:pt>
                <c:pt idx="5">
                  <c:v>1: 2干法1 h</c:v>
                </c:pt>
                <c:pt idx="6">
                  <c:v>1: 2干法2 h</c:v>
                </c:pt>
                <c:pt idx="7">
                  <c:v>1: 2湿法1 h</c:v>
                </c:pt>
                <c:pt idx="8">
                  <c:v>1: 2湿法2 h</c:v>
                </c:pt>
              </c:strCache>
            </c:strRef>
          </c:cat>
          <c:val>
            <c:numRef>
              <c:f>数据选择!$C$27:$C$35</c:f>
              <c:numCache>
                <c:formatCode>General</c:formatCode>
                <c:ptCount val="9"/>
                <c:pt idx="0">
                  <c:v>13.1184</c:v>
                </c:pt>
                <c:pt idx="1">
                  <c:v>9.19399</c:v>
                </c:pt>
                <c:pt idx="2">
                  <c:v>6.16794</c:v>
                </c:pt>
                <c:pt idx="3">
                  <c:v>12.36132</c:v>
                </c:pt>
                <c:pt idx="4">
                  <c:v>8.09384</c:v>
                </c:pt>
                <c:pt idx="5">
                  <c:v>9.566</c:v>
                </c:pt>
                <c:pt idx="6">
                  <c:v>4.2383</c:v>
                </c:pt>
                <c:pt idx="7">
                  <c:v>9.66614</c:v>
                </c:pt>
                <c:pt idx="8">
                  <c:v>5.89827</c:v>
                </c:pt>
              </c:numCache>
            </c:numRef>
          </c:val>
        </c:ser>
        <c:ser>
          <c:idx val="3"/>
          <c:order val="1"/>
          <c:tx>
            <c:strRef>
              <c:f>数据选择!$F$26</c:f>
              <c:strCache>
                <c:ptCount val="1"/>
                <c:pt idx="0">
                  <c:v>超声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数据选择!$G$27:$G$35</c:f>
                <c:numCache>
                  <c:formatCode>General</c:formatCode>
                  <c:ptCount val="9"/>
                  <c:pt idx="1">
                    <c:v>0.1745</c:v>
                  </c:pt>
                  <c:pt idx="2">
                    <c:v>0.61918</c:v>
                  </c:pt>
                  <c:pt idx="3">
                    <c:v>0.45356</c:v>
                  </c:pt>
                  <c:pt idx="4">
                    <c:v>0.38558</c:v>
                  </c:pt>
                  <c:pt idx="5">
                    <c:v>0.10012</c:v>
                  </c:pt>
                  <c:pt idx="6">
                    <c:v>0.20364</c:v>
                  </c:pt>
                  <c:pt idx="7">
                    <c:v>0.21554</c:v>
                  </c:pt>
                  <c:pt idx="8">
                    <c:v>0.27618</c:v>
                  </c:pt>
                </c:numCache>
              </c:numRef>
            </c:plus>
            <c:minus>
              <c:numRef>
                <c:f>数据选择!$G$27:$G$35</c:f>
                <c:numCache>
                  <c:formatCode>General</c:formatCode>
                  <c:ptCount val="9"/>
                  <c:pt idx="1">
                    <c:v>0.1745</c:v>
                  </c:pt>
                  <c:pt idx="2">
                    <c:v>0.61918</c:v>
                  </c:pt>
                  <c:pt idx="3">
                    <c:v>0.45356</c:v>
                  </c:pt>
                  <c:pt idx="4">
                    <c:v>0.38558</c:v>
                  </c:pt>
                  <c:pt idx="5">
                    <c:v>0.10012</c:v>
                  </c:pt>
                  <c:pt idx="6">
                    <c:v>0.20364</c:v>
                  </c:pt>
                  <c:pt idx="7">
                    <c:v>0.21554</c:v>
                  </c:pt>
                  <c:pt idx="8">
                    <c:v>0.27618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数据选择!$B$27:$B$35</c:f>
              <c:strCache>
                <c:ptCount val="9"/>
                <c:pt idx="0">
                  <c:v>N</c:v>
                </c:pt>
                <c:pt idx="1">
                  <c:v>1: 1干法1 h</c:v>
                </c:pt>
                <c:pt idx="2">
                  <c:v>1: 1干法2 h</c:v>
                </c:pt>
                <c:pt idx="3">
                  <c:v>1: 1湿法1 h</c:v>
                </c:pt>
                <c:pt idx="4">
                  <c:v>1: 1湿法2 h</c:v>
                </c:pt>
                <c:pt idx="5">
                  <c:v>1: 2干法1 h</c:v>
                </c:pt>
                <c:pt idx="6">
                  <c:v>1: 2干法2 h</c:v>
                </c:pt>
                <c:pt idx="7">
                  <c:v>1: 2湿法1 h</c:v>
                </c:pt>
                <c:pt idx="8">
                  <c:v>1: 2湿法2 h</c:v>
                </c:pt>
              </c:strCache>
            </c:strRef>
          </c:cat>
          <c:val>
            <c:numRef>
              <c:f>数据选择!$F$27:$F$35</c:f>
              <c:numCache>
                <c:formatCode>General</c:formatCode>
                <c:ptCount val="9"/>
                <c:pt idx="1">
                  <c:v>5.1848</c:v>
                </c:pt>
                <c:pt idx="2">
                  <c:v>3.98065</c:v>
                </c:pt>
                <c:pt idx="3">
                  <c:v>9.31208</c:v>
                </c:pt>
                <c:pt idx="4">
                  <c:v>7.12702</c:v>
                </c:pt>
                <c:pt idx="5">
                  <c:v>6.10783</c:v>
                </c:pt>
                <c:pt idx="6">
                  <c:v>2.87674</c:v>
                </c:pt>
                <c:pt idx="7">
                  <c:v>7.23598</c:v>
                </c:pt>
                <c:pt idx="8">
                  <c:v>5.11031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688827887"/>
        <c:axId val="787444501"/>
      </c:barChart>
      <c:catAx>
        <c:axId val="68882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87444501"/>
        <c:crosses val="autoZero"/>
        <c:auto val="1"/>
        <c:lblAlgn val="ctr"/>
        <c:lblOffset val="100"/>
        <c:noMultiLvlLbl val="0"/>
      </c:catAx>
      <c:valAx>
        <c:axId val="78744450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b="1"/>
                  <a:t>IgG</a:t>
                </a:r>
                <a:r>
                  <a:rPr altLang="en-US" b="1"/>
                  <a:t>结合力</a:t>
                </a:r>
                <a:r>
                  <a:rPr lang="en-US" altLang="zh-CN" b="1"/>
                  <a:t> (μg/mL)</a:t>
                </a:r>
                <a:endParaRPr lang="en-US" altLang="zh-C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8882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720908230842006"/>
          <c:y val="0.142819026902095"/>
          <c:w val="0.201608325449385"/>
          <c:h val="0.06809815950920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7316ba-9f28-4d17-a39f-3d43423c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292100</xdr:colOff>
      <xdr:row>31</xdr:row>
      <xdr:rowOff>107950</xdr:rowOff>
    </xdr:from>
    <xdr:to>
      <xdr:col>14</xdr:col>
      <xdr:colOff>317500</xdr:colOff>
      <xdr:row>47</xdr:row>
      <xdr:rowOff>107950</xdr:rowOff>
    </xdr:to>
    <xdr:graphicFrame>
      <xdr:nvGraphicFramePr>
        <xdr:cNvPr id="2" name="图表 1"/>
        <xdr:cNvGraphicFramePr/>
      </xdr:nvGraphicFramePr>
      <xdr:xfrm>
        <a:off x="5092700" y="5422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698500</xdr:colOff>
      <xdr:row>37</xdr:row>
      <xdr:rowOff>142875</xdr:rowOff>
    </xdr:from>
    <xdr:to>
      <xdr:col>13</xdr:col>
      <xdr:colOff>676275</xdr:colOff>
      <xdr:row>57</xdr:row>
      <xdr:rowOff>152400</xdr:rowOff>
    </xdr:to>
    <xdr:graphicFrame>
      <xdr:nvGraphicFramePr>
        <xdr:cNvPr id="2" name="图表 1"/>
        <xdr:cNvGraphicFramePr/>
      </xdr:nvGraphicFramePr>
      <xdr:xfrm>
        <a:off x="6194425" y="6486525"/>
        <a:ext cx="6711950" cy="343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184150</xdr:colOff>
      <xdr:row>44</xdr:row>
      <xdr:rowOff>85725</xdr:rowOff>
    </xdr:from>
    <xdr:to>
      <xdr:col>8</xdr:col>
      <xdr:colOff>337185</xdr:colOff>
      <xdr:row>45</xdr:row>
      <xdr:rowOff>161925</xdr:rowOff>
    </xdr:to>
    <xdr:sp>
      <xdr:nvSpPr>
        <xdr:cNvPr id="3" name="文本框 2"/>
        <xdr:cNvSpPr txBox="1"/>
      </xdr:nvSpPr>
      <xdr:spPr>
        <a:xfrm>
          <a:off x="7604125" y="762952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b</a:t>
          </a:r>
          <a:endParaRPr lang="zh-CN" altLang="en-US"/>
        </a:p>
      </xdr:txBody>
    </xdr:sp>
    <xdr:clientData/>
  </xdr:twoCellAnchor>
  <xdr:twoCellAnchor>
    <xdr:from>
      <xdr:col>8</xdr:col>
      <xdr:colOff>841375</xdr:colOff>
      <xdr:row>47</xdr:row>
      <xdr:rowOff>85725</xdr:rowOff>
    </xdr:from>
    <xdr:to>
      <xdr:col>9</xdr:col>
      <xdr:colOff>32385</xdr:colOff>
      <xdr:row>48</xdr:row>
      <xdr:rowOff>161925</xdr:rowOff>
    </xdr:to>
    <xdr:sp>
      <xdr:nvSpPr>
        <xdr:cNvPr id="5" name="文本框 4"/>
        <xdr:cNvSpPr txBox="1"/>
      </xdr:nvSpPr>
      <xdr:spPr>
        <a:xfrm>
          <a:off x="8261350" y="814387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d</a:t>
          </a:r>
          <a:endParaRPr lang="en-US" altLang="zh-CN"/>
        </a:p>
      </xdr:txBody>
    </xdr:sp>
    <xdr:clientData/>
  </xdr:twoCellAnchor>
  <xdr:twoCellAnchor>
    <xdr:from>
      <xdr:col>9</xdr:col>
      <xdr:colOff>546100</xdr:colOff>
      <xdr:row>41</xdr:row>
      <xdr:rowOff>133350</xdr:rowOff>
    </xdr:from>
    <xdr:to>
      <xdr:col>9</xdr:col>
      <xdr:colOff>699135</xdr:colOff>
      <xdr:row>43</xdr:row>
      <xdr:rowOff>38100</xdr:rowOff>
    </xdr:to>
    <xdr:sp>
      <xdr:nvSpPr>
        <xdr:cNvPr id="6" name="文本框 5"/>
        <xdr:cNvSpPr txBox="1"/>
      </xdr:nvSpPr>
      <xdr:spPr>
        <a:xfrm>
          <a:off x="8928100" y="716280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a</a:t>
          </a:r>
          <a:endParaRPr lang="zh-CN" altLang="en-US"/>
        </a:p>
      </xdr:txBody>
    </xdr:sp>
    <xdr:clientData/>
  </xdr:twoCellAnchor>
  <xdr:twoCellAnchor>
    <xdr:from>
      <xdr:col>10</xdr:col>
      <xdr:colOff>269875</xdr:colOff>
      <xdr:row>45</xdr:row>
      <xdr:rowOff>142875</xdr:rowOff>
    </xdr:from>
    <xdr:to>
      <xdr:col>10</xdr:col>
      <xdr:colOff>422910</xdr:colOff>
      <xdr:row>47</xdr:row>
      <xdr:rowOff>47625</xdr:rowOff>
    </xdr:to>
    <xdr:sp>
      <xdr:nvSpPr>
        <xdr:cNvPr id="7" name="文本框 6"/>
        <xdr:cNvSpPr txBox="1"/>
      </xdr:nvSpPr>
      <xdr:spPr>
        <a:xfrm>
          <a:off x="9613900" y="785812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c</a:t>
          </a:r>
          <a:endParaRPr lang="zh-CN" altLang="en-US"/>
        </a:p>
      </xdr:txBody>
    </xdr:sp>
    <xdr:clientData/>
  </xdr:twoCellAnchor>
  <xdr:twoCellAnchor>
    <xdr:from>
      <xdr:col>10</xdr:col>
      <xdr:colOff>936625</xdr:colOff>
      <xdr:row>44</xdr:row>
      <xdr:rowOff>57150</xdr:rowOff>
    </xdr:from>
    <xdr:to>
      <xdr:col>11</xdr:col>
      <xdr:colOff>127635</xdr:colOff>
      <xdr:row>45</xdr:row>
      <xdr:rowOff>133350</xdr:rowOff>
    </xdr:to>
    <xdr:sp>
      <xdr:nvSpPr>
        <xdr:cNvPr id="8" name="文本框 7"/>
        <xdr:cNvSpPr txBox="1"/>
      </xdr:nvSpPr>
      <xdr:spPr>
        <a:xfrm>
          <a:off x="10280650" y="760095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b</a:t>
          </a:r>
          <a:endParaRPr lang="en-US" altLang="zh-CN"/>
        </a:p>
      </xdr:txBody>
    </xdr:sp>
    <xdr:clientData/>
  </xdr:twoCellAnchor>
  <xdr:twoCellAnchor>
    <xdr:from>
      <xdr:col>11</xdr:col>
      <xdr:colOff>641350</xdr:colOff>
      <xdr:row>49</xdr:row>
      <xdr:rowOff>19050</xdr:rowOff>
    </xdr:from>
    <xdr:to>
      <xdr:col>11</xdr:col>
      <xdr:colOff>794385</xdr:colOff>
      <xdr:row>50</xdr:row>
      <xdr:rowOff>95250</xdr:rowOff>
    </xdr:to>
    <xdr:sp>
      <xdr:nvSpPr>
        <xdr:cNvPr id="9" name="文本框 8"/>
        <xdr:cNvSpPr txBox="1"/>
      </xdr:nvSpPr>
      <xdr:spPr>
        <a:xfrm>
          <a:off x="10947400" y="842010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e</a:t>
          </a:r>
          <a:endParaRPr lang="zh-CN" altLang="en-US"/>
        </a:p>
      </xdr:txBody>
    </xdr:sp>
    <xdr:clientData/>
  </xdr:twoCellAnchor>
  <xdr:twoCellAnchor>
    <xdr:from>
      <xdr:col>12</xdr:col>
      <xdr:colOff>346075</xdr:colOff>
      <xdr:row>44</xdr:row>
      <xdr:rowOff>57150</xdr:rowOff>
    </xdr:from>
    <xdr:to>
      <xdr:col>12</xdr:col>
      <xdr:colOff>499110</xdr:colOff>
      <xdr:row>45</xdr:row>
      <xdr:rowOff>133350</xdr:rowOff>
    </xdr:to>
    <xdr:sp>
      <xdr:nvSpPr>
        <xdr:cNvPr id="10" name="文本框 9"/>
        <xdr:cNvSpPr txBox="1"/>
      </xdr:nvSpPr>
      <xdr:spPr>
        <a:xfrm>
          <a:off x="11614150" y="760095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b</a:t>
          </a:r>
          <a:endParaRPr lang="zh-CN" altLang="en-US"/>
        </a:p>
      </xdr:txBody>
    </xdr:sp>
    <xdr:clientData/>
  </xdr:twoCellAnchor>
  <xdr:twoCellAnchor>
    <xdr:from>
      <xdr:col>13</xdr:col>
      <xdr:colOff>41275</xdr:colOff>
      <xdr:row>47</xdr:row>
      <xdr:rowOff>19050</xdr:rowOff>
    </xdr:from>
    <xdr:to>
      <xdr:col>13</xdr:col>
      <xdr:colOff>194310</xdr:colOff>
      <xdr:row>48</xdr:row>
      <xdr:rowOff>95250</xdr:rowOff>
    </xdr:to>
    <xdr:sp>
      <xdr:nvSpPr>
        <xdr:cNvPr id="11" name="文本框 10"/>
        <xdr:cNvSpPr txBox="1"/>
      </xdr:nvSpPr>
      <xdr:spPr>
        <a:xfrm>
          <a:off x="12271375" y="807720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d</a:t>
          </a:r>
          <a:endParaRPr lang="zh-CN" altLang="en-US"/>
        </a:p>
      </xdr:txBody>
    </xdr:sp>
    <xdr:clientData/>
  </xdr:twoCellAnchor>
  <xdr:twoCellAnchor>
    <xdr:from>
      <xdr:col>7</xdr:col>
      <xdr:colOff>460375</xdr:colOff>
      <xdr:row>40</xdr:row>
      <xdr:rowOff>114300</xdr:rowOff>
    </xdr:from>
    <xdr:to>
      <xdr:col>7</xdr:col>
      <xdr:colOff>613410</xdr:colOff>
      <xdr:row>42</xdr:row>
      <xdr:rowOff>19050</xdr:rowOff>
    </xdr:to>
    <xdr:sp>
      <xdr:nvSpPr>
        <xdr:cNvPr id="12" name="文本框 11"/>
        <xdr:cNvSpPr txBox="1"/>
      </xdr:nvSpPr>
      <xdr:spPr>
        <a:xfrm>
          <a:off x="6918325" y="697230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a</a:t>
          </a:r>
          <a:endParaRPr lang="zh-CN" altLang="en-US"/>
        </a:p>
      </xdr:txBody>
    </xdr:sp>
    <xdr:clientData/>
  </xdr:twoCellAnchor>
  <xdr:twoCellAnchor>
    <xdr:from>
      <xdr:col>8</xdr:col>
      <xdr:colOff>323850</xdr:colOff>
      <xdr:row>48</xdr:row>
      <xdr:rowOff>57150</xdr:rowOff>
    </xdr:from>
    <xdr:to>
      <xdr:col>8</xdr:col>
      <xdr:colOff>476885</xdr:colOff>
      <xdr:row>49</xdr:row>
      <xdr:rowOff>133350</xdr:rowOff>
    </xdr:to>
    <xdr:sp>
      <xdr:nvSpPr>
        <xdr:cNvPr id="13" name="文本框 12"/>
        <xdr:cNvSpPr txBox="1"/>
      </xdr:nvSpPr>
      <xdr:spPr>
        <a:xfrm>
          <a:off x="7743825" y="828675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d</a:t>
          </a:r>
          <a:endParaRPr lang="zh-CN" altLang="en-US"/>
        </a:p>
      </xdr:txBody>
    </xdr:sp>
    <xdr:clientData/>
  </xdr:twoCellAnchor>
  <xdr:twoCellAnchor>
    <xdr:from>
      <xdr:col>9</xdr:col>
      <xdr:colOff>31750</xdr:colOff>
      <xdr:row>49</xdr:row>
      <xdr:rowOff>0</xdr:rowOff>
    </xdr:from>
    <xdr:to>
      <xdr:col>9</xdr:col>
      <xdr:colOff>184785</xdr:colOff>
      <xdr:row>50</xdr:row>
      <xdr:rowOff>76200</xdr:rowOff>
    </xdr:to>
    <xdr:sp>
      <xdr:nvSpPr>
        <xdr:cNvPr id="14" name="文本框 13"/>
        <xdr:cNvSpPr txBox="1"/>
      </xdr:nvSpPr>
      <xdr:spPr>
        <a:xfrm>
          <a:off x="8413750" y="840105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f</a:t>
          </a:r>
          <a:endParaRPr lang="zh-CN" altLang="en-US"/>
        </a:p>
      </xdr:txBody>
    </xdr:sp>
    <xdr:clientData/>
  </xdr:twoCellAnchor>
  <xdr:twoCellAnchor>
    <xdr:from>
      <xdr:col>9</xdr:col>
      <xdr:colOff>698500</xdr:colOff>
      <xdr:row>44</xdr:row>
      <xdr:rowOff>95250</xdr:rowOff>
    </xdr:from>
    <xdr:to>
      <xdr:col>9</xdr:col>
      <xdr:colOff>851535</xdr:colOff>
      <xdr:row>46</xdr:row>
      <xdr:rowOff>0</xdr:rowOff>
    </xdr:to>
    <xdr:sp>
      <xdr:nvSpPr>
        <xdr:cNvPr id="15" name="文本框 14"/>
        <xdr:cNvSpPr txBox="1"/>
      </xdr:nvSpPr>
      <xdr:spPr>
        <a:xfrm>
          <a:off x="9080500" y="763905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a</a:t>
          </a:r>
          <a:endParaRPr lang="zh-CN" altLang="en-US"/>
        </a:p>
      </xdr:txBody>
    </xdr:sp>
    <xdr:clientData/>
  </xdr:twoCellAnchor>
  <xdr:twoCellAnchor>
    <xdr:from>
      <xdr:col>10</xdr:col>
      <xdr:colOff>412750</xdr:colOff>
      <xdr:row>46</xdr:row>
      <xdr:rowOff>76200</xdr:rowOff>
    </xdr:from>
    <xdr:to>
      <xdr:col>10</xdr:col>
      <xdr:colOff>565785</xdr:colOff>
      <xdr:row>47</xdr:row>
      <xdr:rowOff>152400</xdr:rowOff>
    </xdr:to>
    <xdr:sp>
      <xdr:nvSpPr>
        <xdr:cNvPr id="16" name="文本框 15"/>
        <xdr:cNvSpPr txBox="1"/>
      </xdr:nvSpPr>
      <xdr:spPr>
        <a:xfrm>
          <a:off x="9756775" y="7962900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b</a:t>
          </a:r>
          <a:endParaRPr lang="zh-CN" altLang="en-US"/>
        </a:p>
      </xdr:txBody>
    </xdr:sp>
    <xdr:clientData/>
  </xdr:twoCellAnchor>
  <xdr:twoCellAnchor>
    <xdr:from>
      <xdr:col>11</xdr:col>
      <xdr:colOff>127000</xdr:colOff>
      <xdr:row>47</xdr:row>
      <xdr:rowOff>85725</xdr:rowOff>
    </xdr:from>
    <xdr:to>
      <xdr:col>11</xdr:col>
      <xdr:colOff>280035</xdr:colOff>
      <xdr:row>48</xdr:row>
      <xdr:rowOff>161925</xdr:rowOff>
    </xdr:to>
    <xdr:sp>
      <xdr:nvSpPr>
        <xdr:cNvPr id="17" name="文本框 16"/>
        <xdr:cNvSpPr txBox="1"/>
      </xdr:nvSpPr>
      <xdr:spPr>
        <a:xfrm>
          <a:off x="10433050" y="814387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c</a:t>
          </a:r>
          <a:endParaRPr lang="zh-CN" altLang="en-US"/>
        </a:p>
      </xdr:txBody>
    </xdr:sp>
    <xdr:clientData/>
  </xdr:twoCellAnchor>
  <xdr:twoCellAnchor>
    <xdr:from>
      <xdr:col>11</xdr:col>
      <xdr:colOff>793750</xdr:colOff>
      <xdr:row>50</xdr:row>
      <xdr:rowOff>47625</xdr:rowOff>
    </xdr:from>
    <xdr:to>
      <xdr:col>11</xdr:col>
      <xdr:colOff>946785</xdr:colOff>
      <xdr:row>51</xdr:row>
      <xdr:rowOff>123825</xdr:rowOff>
    </xdr:to>
    <xdr:sp>
      <xdr:nvSpPr>
        <xdr:cNvPr id="18" name="文本框 17"/>
        <xdr:cNvSpPr txBox="1"/>
      </xdr:nvSpPr>
      <xdr:spPr>
        <a:xfrm>
          <a:off x="11099800" y="862012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e</a:t>
          </a:r>
          <a:endParaRPr lang="zh-CN" altLang="en-US"/>
        </a:p>
      </xdr:txBody>
    </xdr:sp>
    <xdr:clientData/>
  </xdr:twoCellAnchor>
  <xdr:twoCellAnchor>
    <xdr:from>
      <xdr:col>12</xdr:col>
      <xdr:colOff>498475</xdr:colOff>
      <xdr:row>46</xdr:row>
      <xdr:rowOff>85725</xdr:rowOff>
    </xdr:from>
    <xdr:to>
      <xdr:col>12</xdr:col>
      <xdr:colOff>651510</xdr:colOff>
      <xdr:row>47</xdr:row>
      <xdr:rowOff>161925</xdr:rowOff>
    </xdr:to>
    <xdr:sp>
      <xdr:nvSpPr>
        <xdr:cNvPr id="19" name="文本框 18"/>
        <xdr:cNvSpPr txBox="1"/>
      </xdr:nvSpPr>
      <xdr:spPr>
        <a:xfrm>
          <a:off x="11766550" y="797242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b</a:t>
          </a:r>
          <a:endParaRPr lang="zh-CN" altLang="en-US"/>
        </a:p>
      </xdr:txBody>
    </xdr:sp>
    <xdr:clientData/>
  </xdr:twoCellAnchor>
  <xdr:twoCellAnchor>
    <xdr:from>
      <xdr:col>13</xdr:col>
      <xdr:colOff>203200</xdr:colOff>
      <xdr:row>48</xdr:row>
      <xdr:rowOff>47625</xdr:rowOff>
    </xdr:from>
    <xdr:to>
      <xdr:col>13</xdr:col>
      <xdr:colOff>356235</xdr:colOff>
      <xdr:row>49</xdr:row>
      <xdr:rowOff>123825</xdr:rowOff>
    </xdr:to>
    <xdr:sp>
      <xdr:nvSpPr>
        <xdr:cNvPr id="20" name="文本框 19"/>
        <xdr:cNvSpPr txBox="1"/>
      </xdr:nvSpPr>
      <xdr:spPr>
        <a:xfrm>
          <a:off x="12433300" y="8277225"/>
          <a:ext cx="153035" cy="2476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d</a:t>
          </a:r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workbookViewId="0">
      <selection activeCell="J23" sqref="J23"/>
    </sheetView>
  </sheetViews>
  <sheetFormatPr defaultColWidth="9" defaultRowHeight="13.5"/>
  <sheetData>
    <row r="1" spans="1:13">
      <c r="A1" s="18" t="s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</row>
    <row r="2" spans="1:13">
      <c r="A2" s="18" t="s">
        <v>1</v>
      </c>
      <c r="B2" s="5">
        <v>0.370400011539459</v>
      </c>
      <c r="C2" s="5">
        <v>0.357600003480911</v>
      </c>
      <c r="D2" s="5">
        <v>0.336800009012222</v>
      </c>
      <c r="E2" s="5">
        <v>0.519500017166138</v>
      </c>
      <c r="F2" s="5">
        <v>0.564199984073639</v>
      </c>
      <c r="G2" s="5">
        <v>0.50900000333786</v>
      </c>
      <c r="H2" s="6">
        <v>0.420300005674362</v>
      </c>
      <c r="I2" s="6">
        <v>0.418599991798401</v>
      </c>
      <c r="J2" s="6">
        <v>0.409599988460541</v>
      </c>
      <c r="K2" s="5">
        <v>0.422199994325638</v>
      </c>
      <c r="L2" s="5">
        <v>0.418599992990494</v>
      </c>
      <c r="M2" s="5">
        <v>0.39520001411438</v>
      </c>
    </row>
    <row r="3" spans="1:13">
      <c r="A3" s="18" t="s">
        <v>2</v>
      </c>
      <c r="B3" s="5">
        <v>0.525600016117096</v>
      </c>
      <c r="C3" s="5">
        <v>0.5310999751091</v>
      </c>
      <c r="D3" s="5">
        <v>0.526300013065338</v>
      </c>
      <c r="E3" s="5">
        <v>0.630999982357025</v>
      </c>
      <c r="F3" s="5">
        <v>0.595899999141693</v>
      </c>
      <c r="G3" s="5">
        <v>0.549000024795532</v>
      </c>
      <c r="H3" s="5">
        <v>0.460099995136261</v>
      </c>
      <c r="I3" s="5">
        <v>0.464700013399124</v>
      </c>
      <c r="J3" s="5">
        <v>0.456200003623962</v>
      </c>
      <c r="K3" s="5">
        <v>0.489300012588501</v>
      </c>
      <c r="L3" s="5">
        <v>0.495099991559982</v>
      </c>
      <c r="M3" s="5">
        <v>0.463899999856949</v>
      </c>
    </row>
    <row r="4" spans="1:13">
      <c r="A4" s="18" t="s">
        <v>3</v>
      </c>
      <c r="B4" s="5">
        <v>0.370599985122681</v>
      </c>
      <c r="C4" s="5">
        <v>0.35139998793602</v>
      </c>
      <c r="D4" s="5">
        <v>0.36149999499321</v>
      </c>
      <c r="E4" s="5">
        <v>0.527899980545044</v>
      </c>
      <c r="F4" s="5">
        <v>0.447800010442734</v>
      </c>
      <c r="G4" s="5">
        <v>0.440499991178513</v>
      </c>
      <c r="H4" s="5">
        <v>0.500100016593933</v>
      </c>
      <c r="I4" s="5">
        <v>0.472299993038177</v>
      </c>
      <c r="J4" s="5">
        <v>0.464800000190735</v>
      </c>
      <c r="K4" s="5">
        <v>0.458600014448166</v>
      </c>
      <c r="L4" s="5">
        <v>0.460399985313416</v>
      </c>
      <c r="M4" s="5">
        <v>0.437200009822845</v>
      </c>
    </row>
    <row r="5" spans="1:13">
      <c r="A5" s="18" t="s">
        <v>4</v>
      </c>
      <c r="B5" s="5">
        <v>0.440100014209747</v>
      </c>
      <c r="C5" s="5">
        <v>0.427300006151199</v>
      </c>
      <c r="D5" s="5">
        <v>0.442099988460541</v>
      </c>
      <c r="E5" s="5">
        <v>0.538900017738342</v>
      </c>
      <c r="F5" s="5">
        <v>0.523899972438812</v>
      </c>
      <c r="G5" s="5">
        <v>0.501500010490417</v>
      </c>
      <c r="H5" s="5">
        <v>0.505500018596649</v>
      </c>
      <c r="I5" s="5">
        <v>0.482199996709824</v>
      </c>
      <c r="J5" s="5">
        <v>0.467900007963181</v>
      </c>
      <c r="K5" s="5">
        <v>0.544099986553192</v>
      </c>
      <c r="L5" s="5">
        <v>0.51690000295639</v>
      </c>
      <c r="M5" s="5">
        <v>0.525699973106384</v>
      </c>
    </row>
    <row r="6" spans="1:13">
      <c r="A6" s="18" t="s">
        <v>5</v>
      </c>
      <c r="B6" s="5">
        <v>0.497200012207031</v>
      </c>
      <c r="C6" s="5">
        <v>0.533100008964539</v>
      </c>
      <c r="D6" s="5">
        <v>0.540300011634827</v>
      </c>
      <c r="E6" s="5">
        <v>0.661800026893616</v>
      </c>
      <c r="F6" s="5">
        <v>0.638000011444092</v>
      </c>
      <c r="G6" s="5">
        <v>0.616100013256073</v>
      </c>
      <c r="H6" s="5">
        <v>0.395700007677078</v>
      </c>
      <c r="I6" s="5">
        <v>0.402900010347366</v>
      </c>
      <c r="J6" s="5">
        <v>0.380699992179871</v>
      </c>
      <c r="K6" s="6">
        <v>0.418000010251999</v>
      </c>
      <c r="L6" s="6">
        <v>0.423099992275238</v>
      </c>
      <c r="M6" s="6">
        <v>0.382299987077713</v>
      </c>
    </row>
    <row r="7" spans="1:13">
      <c r="A7" s="18" t="s">
        <v>6</v>
      </c>
      <c r="B7" s="5">
        <v>0.553699970245361</v>
      </c>
      <c r="C7" s="5">
        <v>0.547500014305115</v>
      </c>
      <c r="D7" s="5">
        <v>0.549000024795532</v>
      </c>
      <c r="E7" s="5">
        <v>0.669700026512146</v>
      </c>
      <c r="F7" s="5">
        <v>0.656599998474121</v>
      </c>
      <c r="G7" s="5">
        <v>0.633400022983551</v>
      </c>
      <c r="H7" s="5">
        <v>0.434700012207031</v>
      </c>
      <c r="I7" s="5">
        <v>0.438100010156631</v>
      </c>
      <c r="J7" s="5">
        <v>0.391499996185303</v>
      </c>
      <c r="K7" s="5">
        <v>0.468600004911423</v>
      </c>
      <c r="L7" s="5">
        <v>0.451099991798401</v>
      </c>
      <c r="M7" s="5">
        <v>0.443399995565414</v>
      </c>
    </row>
    <row r="8" spans="1:13">
      <c r="A8" s="18" t="s">
        <v>7</v>
      </c>
      <c r="B8" s="5">
        <v>0.608799993991852</v>
      </c>
      <c r="C8" s="5">
        <v>0.581200003623962</v>
      </c>
      <c r="D8" s="5">
        <v>0.571699976921082</v>
      </c>
      <c r="E8" s="5">
        <v>0.395700007677078</v>
      </c>
      <c r="F8" s="5">
        <v>0.402900010347366</v>
      </c>
      <c r="G8" s="5">
        <v>0.380699992179871</v>
      </c>
      <c r="H8" s="6">
        <v>0.420700010061264</v>
      </c>
      <c r="I8" s="6">
        <v>0.428899999856949</v>
      </c>
      <c r="J8" s="6">
        <v>0.40260000705719</v>
      </c>
      <c r="K8" s="5">
        <v>0.43979999423027</v>
      </c>
      <c r="L8" s="5">
        <v>0.478700011968613</v>
      </c>
      <c r="M8" s="5">
        <v>0.445600003004074</v>
      </c>
    </row>
    <row r="9" spans="1:13">
      <c r="A9" s="18" t="s">
        <v>8</v>
      </c>
      <c r="B9" s="5">
        <v>0.655499994754791</v>
      </c>
      <c r="C9" s="5">
        <v>0.676199972629547</v>
      </c>
      <c r="D9" s="5">
        <v>0.634999990463257</v>
      </c>
      <c r="E9" s="5">
        <v>0.559499979019165</v>
      </c>
      <c r="F9" s="5">
        <v>0.530399978160858</v>
      </c>
      <c r="G9" s="5">
        <v>0.518299996852875</v>
      </c>
      <c r="H9" s="5">
        <v>0.451999992132187</v>
      </c>
      <c r="I9" s="5">
        <v>0.442900002002716</v>
      </c>
      <c r="J9" s="5">
        <v>0.425799995660782</v>
      </c>
      <c r="K9" s="5">
        <v>0.469799995422363</v>
      </c>
      <c r="L9" s="5">
        <v>0.474999994039536</v>
      </c>
      <c r="M9" s="5">
        <v>0.417100012302399</v>
      </c>
    </row>
    <row r="11" spans="1:13">
      <c r="B11" s="5"/>
      <c r="C11" s="5"/>
      <c r="D11" s="5"/>
    </row>
    <row r="12" spans="1:13">
      <c r="A12" s="18" t="s">
        <v>0</v>
      </c>
      <c r="B12" s="18">
        <v>1</v>
      </c>
      <c r="C12" s="18">
        <v>2</v>
      </c>
      <c r="D12" s="18">
        <v>3</v>
      </c>
      <c r="E12" s="18">
        <v>4</v>
      </c>
      <c r="F12" s="18">
        <v>5</v>
      </c>
      <c r="G12" s="18">
        <v>6</v>
      </c>
      <c r="H12" s="18">
        <v>7</v>
      </c>
      <c r="I12" s="18">
        <v>8</v>
      </c>
      <c r="J12" s="18">
        <v>9</v>
      </c>
      <c r="K12" s="18">
        <v>10</v>
      </c>
      <c r="L12" s="18">
        <v>11</v>
      </c>
      <c r="M12" s="18">
        <v>12</v>
      </c>
    </row>
    <row r="13" spans="1:13">
      <c r="A13" s="18" t="s">
        <v>1</v>
      </c>
      <c r="B13" s="5">
        <v>0.379599988460541</v>
      </c>
      <c r="C13" s="5">
        <v>0.358599990606308</v>
      </c>
      <c r="D13" s="5">
        <v>0.342900007963181</v>
      </c>
      <c r="E13" s="5">
        <v>0.528999984264374</v>
      </c>
      <c r="F13" s="5">
        <v>0.571600019931793</v>
      </c>
      <c r="G13" s="5">
        <v>0.513800024986267</v>
      </c>
      <c r="H13" s="6">
        <v>0.427700011730194</v>
      </c>
      <c r="I13" s="6">
        <v>0.429399995803833</v>
      </c>
      <c r="J13" s="6">
        <v>0.418000011444092</v>
      </c>
      <c r="K13" s="5">
        <v>0.426499992609024</v>
      </c>
      <c r="L13" s="5">
        <v>0.426600009202957</v>
      </c>
      <c r="M13" s="5">
        <v>0.404599994421005</v>
      </c>
    </row>
    <row r="14" spans="1:13">
      <c r="A14" s="18" t="s">
        <v>2</v>
      </c>
      <c r="B14" s="5">
        <v>0.532700002193451</v>
      </c>
      <c r="C14" s="5">
        <v>0.535099983215332</v>
      </c>
      <c r="D14" s="5">
        <v>0.534300029277802</v>
      </c>
      <c r="E14" s="5">
        <v>0.633599996566772</v>
      </c>
      <c r="F14" s="5">
        <v>0.601400017738342</v>
      </c>
      <c r="G14" s="5">
        <v>0.553099989891052</v>
      </c>
      <c r="H14" s="5">
        <v>0.465099990367889</v>
      </c>
      <c r="I14" s="5">
        <v>0.472699999809265</v>
      </c>
      <c r="J14" s="5">
        <v>0.461600005626678</v>
      </c>
      <c r="K14" s="5">
        <v>0.488299995660782</v>
      </c>
      <c r="L14" s="5">
        <v>0.495000004768372</v>
      </c>
      <c r="M14" s="5">
        <v>0.466699987649918</v>
      </c>
    </row>
    <row r="15" spans="1:13">
      <c r="A15" s="18" t="s">
        <v>3</v>
      </c>
      <c r="B15" s="5">
        <v>0.376399993896484</v>
      </c>
      <c r="C15" s="5">
        <v>0.356099992990494</v>
      </c>
      <c r="D15" s="5">
        <v>0.364399999380112</v>
      </c>
      <c r="E15" s="5">
        <v>0.533900022506714</v>
      </c>
      <c r="F15" s="5">
        <v>0.455300003290176</v>
      </c>
      <c r="G15" s="5">
        <v>0.446299999952316</v>
      </c>
      <c r="H15" s="5">
        <v>0.501800000667572</v>
      </c>
      <c r="I15" s="5">
        <v>0.477200001478195</v>
      </c>
      <c r="J15" s="5">
        <v>0.472200006246567</v>
      </c>
      <c r="K15" s="5">
        <v>0.461299985647202</v>
      </c>
      <c r="L15" s="5">
        <v>0.465900003910065</v>
      </c>
      <c r="M15" s="5">
        <v>0.442699998617172</v>
      </c>
    </row>
    <row r="16" spans="1:13">
      <c r="A16" s="18" t="s">
        <v>4</v>
      </c>
      <c r="B16" s="5">
        <v>0.442699998617172</v>
      </c>
      <c r="C16" s="5">
        <v>0.431800007820129</v>
      </c>
      <c r="D16" s="5">
        <v>0.441700011491776</v>
      </c>
      <c r="E16" s="5">
        <v>0.5382000207901</v>
      </c>
      <c r="F16" s="5">
        <v>0.525799989700317</v>
      </c>
      <c r="G16" s="5">
        <v>0.506399989128113</v>
      </c>
      <c r="H16" s="5">
        <v>0.504000008106232</v>
      </c>
      <c r="I16" s="5">
        <v>0.484499990940094</v>
      </c>
      <c r="J16" s="5">
        <v>0.469900012016296</v>
      </c>
      <c r="K16" s="5">
        <v>0.54449999332428</v>
      </c>
      <c r="L16" s="5">
        <v>0.513599991798401</v>
      </c>
      <c r="M16" s="5">
        <v>0.527999997138977</v>
      </c>
    </row>
    <row r="17" spans="1:21">
      <c r="A17" s="18" t="s">
        <v>5</v>
      </c>
      <c r="B17" s="5">
        <v>0.502900004386902</v>
      </c>
      <c r="C17" s="5">
        <v>0.535399973392487</v>
      </c>
      <c r="D17" s="5">
        <v>0.545899987220764</v>
      </c>
      <c r="E17" s="5">
        <v>0.670099973678589</v>
      </c>
      <c r="F17" s="5">
        <v>0.648000001907349</v>
      </c>
      <c r="G17" s="5">
        <v>0.626699984073639</v>
      </c>
      <c r="H17" s="5">
        <v>0.404100000858307</v>
      </c>
      <c r="I17" s="5">
        <v>0.418900012969971</v>
      </c>
      <c r="J17" s="5">
        <v>0.389400005340576</v>
      </c>
      <c r="K17" s="6">
        <v>0.423499999046326</v>
      </c>
      <c r="L17" s="6">
        <v>0.427399990558624</v>
      </c>
      <c r="M17" s="6">
        <v>0.382100013494492</v>
      </c>
    </row>
    <row r="18" spans="1:21">
      <c r="A18" s="18" t="s">
        <v>6</v>
      </c>
      <c r="B18" s="5">
        <v>0.55349999666214</v>
      </c>
      <c r="C18" s="5">
        <v>0.544799983501434</v>
      </c>
      <c r="D18" s="5">
        <v>0.549799978733063</v>
      </c>
      <c r="E18" s="5">
        <v>0.666800022125244</v>
      </c>
      <c r="F18" s="5">
        <v>0.657299995422363</v>
      </c>
      <c r="G18" s="5">
        <v>0.631699979305267</v>
      </c>
      <c r="H18" s="5">
        <v>0.436500012874603</v>
      </c>
      <c r="I18" s="5">
        <v>0.43979999423027</v>
      </c>
      <c r="J18" s="5">
        <v>0.399100005626678</v>
      </c>
      <c r="K18" s="5">
        <v>0.470800012350082</v>
      </c>
      <c r="L18" s="5">
        <v>0.452800005674362</v>
      </c>
      <c r="M18" s="5">
        <v>0.447100013494492</v>
      </c>
    </row>
    <row r="19" spans="1:21">
      <c r="A19" s="18" t="s">
        <v>7</v>
      </c>
      <c r="B19" s="5">
        <v>0.611000001430511</v>
      </c>
      <c r="C19" s="5">
        <v>0.584999978542328</v>
      </c>
      <c r="D19" s="5">
        <v>0.575600028038025</v>
      </c>
      <c r="E19" s="5">
        <v>0.404100000858307</v>
      </c>
      <c r="F19" s="5">
        <v>0.418900012969971</v>
      </c>
      <c r="G19" s="5">
        <v>0.389400005340576</v>
      </c>
      <c r="H19" s="6">
        <v>0.424500014781952</v>
      </c>
      <c r="I19" s="6">
        <v>0.429399993419647</v>
      </c>
      <c r="J19" s="6">
        <v>0.414200004339218</v>
      </c>
      <c r="K19" s="5">
        <v>0.443500012159348</v>
      </c>
      <c r="L19" s="5">
        <v>0.484600007534027</v>
      </c>
      <c r="M19" s="5">
        <v>0.448500007390976</v>
      </c>
    </row>
    <row r="20" spans="1:21">
      <c r="A20" s="18" t="s">
        <v>8</v>
      </c>
      <c r="B20" s="5">
        <v>0.661199986934662</v>
      </c>
      <c r="C20" s="5">
        <v>0.676400005817413</v>
      </c>
      <c r="D20" s="5">
        <v>0.637399971485138</v>
      </c>
      <c r="E20" s="5">
        <v>0.557200014591217</v>
      </c>
      <c r="F20" s="5">
        <v>0.534300029277802</v>
      </c>
      <c r="G20" s="5">
        <v>0.527400016784668</v>
      </c>
      <c r="H20" s="5">
        <v>0.455000013113022</v>
      </c>
      <c r="I20" s="5">
        <v>0.446700006723404</v>
      </c>
      <c r="J20" s="5">
        <v>0.42849999666214</v>
      </c>
      <c r="K20" s="5">
        <v>0.470699995756149</v>
      </c>
      <c r="L20" s="5">
        <v>0.47979998588562</v>
      </c>
      <c r="M20" s="5">
        <v>0.418799996376038</v>
      </c>
    </row>
    <row r="22" spans="1:21">
      <c r="B22" s="5"/>
      <c r="C22" s="5"/>
      <c r="D22" s="5"/>
    </row>
    <row r="23" spans="1:21">
      <c r="B23" s="5"/>
      <c r="C23" s="5"/>
      <c r="D23" s="5"/>
    </row>
    <row r="27" spans="1:21">
      <c r="E27" s="5"/>
      <c r="F27" s="6"/>
      <c r="G27" s="5"/>
      <c r="H27" s="5"/>
      <c r="I27" s="5"/>
      <c r="J27" s="5"/>
      <c r="K27" s="5"/>
      <c r="L27" s="6"/>
      <c r="M27" s="5"/>
      <c r="N27" s="5"/>
      <c r="O27" s="5"/>
      <c r="P27" s="5"/>
      <c r="Q27" s="5"/>
      <c r="R27" s="6"/>
      <c r="S27" s="5"/>
      <c r="T27" s="5"/>
      <c r="U27" s="5"/>
    </row>
    <row r="28" spans="1:21">
      <c r="E28" s="5"/>
      <c r="F28" s="6"/>
      <c r="G28" s="5"/>
      <c r="H28" s="5"/>
      <c r="I28" s="5"/>
      <c r="J28" s="5"/>
      <c r="K28" s="5"/>
      <c r="L28" s="6"/>
      <c r="M28" s="5"/>
      <c r="N28" s="5"/>
      <c r="O28" s="5"/>
      <c r="P28" s="5"/>
      <c r="Q28" s="5"/>
      <c r="R28" s="6"/>
      <c r="S28" s="5"/>
      <c r="T28" s="5"/>
      <c r="U28" s="5"/>
    </row>
    <row r="29" spans="1:21">
      <c r="E29" s="5"/>
      <c r="F29" s="6"/>
      <c r="G29" s="5"/>
      <c r="H29" s="5"/>
      <c r="I29" s="5"/>
      <c r="J29" s="5"/>
      <c r="K29" s="5"/>
      <c r="L29" s="6"/>
      <c r="M29" s="5"/>
      <c r="N29" s="5"/>
      <c r="O29" s="5"/>
      <c r="P29" s="5"/>
      <c r="Q29" s="5"/>
      <c r="R29" s="6"/>
      <c r="S29" s="5"/>
      <c r="T29" s="5"/>
      <c r="U29" s="5"/>
    </row>
    <row r="30" spans="1:21">
      <c r="E30" s="5"/>
      <c r="F30" s="6"/>
      <c r="G30" s="5"/>
      <c r="H30" s="5"/>
      <c r="I30" s="5"/>
      <c r="J30" s="5"/>
      <c r="K30" s="5"/>
      <c r="L30" s="6"/>
      <c r="M30" s="5"/>
      <c r="N30" s="5"/>
      <c r="O30" s="5"/>
      <c r="P30" s="5"/>
      <c r="Q30" s="5"/>
      <c r="R30" s="6"/>
      <c r="S30" s="5"/>
      <c r="T30" s="5"/>
      <c r="U30" s="5"/>
    </row>
    <row r="31" spans="1:21">
      <c r="E31" s="5"/>
      <c r="F31" s="6"/>
      <c r="G31" s="5"/>
      <c r="H31" s="5"/>
      <c r="I31" s="5"/>
      <c r="J31" s="5"/>
      <c r="K31" s="5"/>
      <c r="L31" s="6"/>
      <c r="M31" s="5"/>
      <c r="N31" s="5"/>
      <c r="O31" s="5"/>
      <c r="P31" s="5"/>
      <c r="Q31" s="5"/>
      <c r="R31" s="6"/>
      <c r="S31" s="5"/>
      <c r="T31" s="5"/>
      <c r="U31" s="5"/>
    </row>
    <row r="32" spans="1:21">
      <c r="E32" s="5"/>
      <c r="F32" s="6"/>
      <c r="G32" s="5"/>
      <c r="H32" s="5"/>
      <c r="I32" s="5"/>
      <c r="J32" s="5"/>
      <c r="K32" s="5"/>
      <c r="L32" s="6"/>
      <c r="M32" s="5"/>
      <c r="N32" s="5"/>
      <c r="O32" s="5"/>
      <c r="P32" s="5"/>
      <c r="Q32" s="5"/>
      <c r="R32" s="6"/>
      <c r="S32" s="5"/>
      <c r="T32" s="5"/>
      <c r="U32" s="5"/>
    </row>
    <row r="36" spans="4:11">
      <c r="D36" s="6"/>
      <c r="E36" s="6"/>
      <c r="F36" s="6"/>
      <c r="I36" s="6"/>
      <c r="J36" s="6"/>
      <c r="K36" s="6"/>
    </row>
    <row r="37" spans="4:11">
      <c r="D37" s="5"/>
      <c r="E37" s="5"/>
      <c r="F37" s="5"/>
      <c r="I37" s="5"/>
      <c r="J37" s="5"/>
      <c r="K37" s="5"/>
    </row>
    <row r="38" spans="4:11">
      <c r="D38" s="5"/>
      <c r="E38" s="5"/>
      <c r="F38" s="5"/>
      <c r="I38" s="5"/>
      <c r="J38" s="5"/>
      <c r="K38" s="5"/>
    </row>
    <row r="39" spans="4:11">
      <c r="D39" s="5"/>
      <c r="E39" s="5"/>
      <c r="F39" s="5"/>
      <c r="I39" s="5"/>
      <c r="J39" s="5"/>
      <c r="K39" s="5"/>
    </row>
    <row r="40" spans="4:11">
      <c r="D40" s="5"/>
      <c r="E40" s="5"/>
      <c r="F40" s="5"/>
      <c r="I40" s="5"/>
      <c r="J40" s="5"/>
      <c r="K40" s="5"/>
    </row>
    <row r="41" spans="4:11">
      <c r="D41" s="5"/>
      <c r="E41" s="5"/>
      <c r="F41" s="5"/>
      <c r="I41" s="5"/>
      <c r="J41" s="5"/>
      <c r="K41" s="5"/>
    </row>
    <row r="42" spans="4:11">
      <c r="D42" s="6"/>
      <c r="E42" s="6"/>
      <c r="F42" s="6"/>
      <c r="I42" s="6"/>
      <c r="J42" s="6"/>
      <c r="K42" s="6"/>
    </row>
    <row r="43" spans="4:11">
      <c r="D43" s="5"/>
      <c r="E43" s="5"/>
      <c r="F43" s="5"/>
      <c r="I43" s="5"/>
      <c r="J43" s="5"/>
      <c r="K43" s="5"/>
    </row>
    <row r="44" spans="4:11">
      <c r="D44" s="5"/>
      <c r="E44" s="5"/>
      <c r="F44" s="5"/>
      <c r="I44" s="5"/>
      <c r="J44" s="5"/>
      <c r="K44" s="5"/>
    </row>
    <row r="45" spans="4:11">
      <c r="D45" s="5"/>
      <c r="E45" s="5"/>
      <c r="F45" s="5"/>
      <c r="I45" s="5"/>
      <c r="J45" s="5"/>
      <c r="K45" s="5"/>
    </row>
    <row r="46" spans="4:11">
      <c r="D46" s="5"/>
      <c r="E46" s="5"/>
      <c r="F46" s="5"/>
      <c r="I46" s="5"/>
      <c r="J46" s="5"/>
      <c r="K46" s="5"/>
    </row>
    <row r="47" spans="4:11">
      <c r="D47" s="5"/>
      <c r="E47" s="5"/>
      <c r="F47" s="5"/>
      <c r="I47" s="5"/>
      <c r="J47" s="5"/>
      <c r="K47" s="5"/>
    </row>
    <row r="48" spans="4:11">
      <c r="D48" s="6"/>
      <c r="E48" s="6"/>
      <c r="F48" s="6"/>
      <c r="I48" s="6"/>
      <c r="J48" s="6"/>
      <c r="K48" s="6"/>
    </row>
    <row r="49" spans="4:11">
      <c r="D49" s="5"/>
      <c r="E49" s="5"/>
      <c r="F49" s="5"/>
      <c r="I49" s="5"/>
      <c r="J49" s="5"/>
      <c r="K49" s="5"/>
    </row>
    <row r="50" spans="4:11">
      <c r="D50" s="5"/>
      <c r="E50" s="5"/>
      <c r="F50" s="5"/>
      <c r="I50" s="5"/>
      <c r="J50" s="5"/>
      <c r="K50" s="5"/>
    </row>
    <row r="51" spans="4:11">
      <c r="D51" s="5"/>
      <c r="E51" s="5"/>
      <c r="F51" s="5"/>
      <c r="I51" s="5"/>
      <c r="J51" s="5"/>
      <c r="K51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16" workbookViewId="0">
      <selection activeCell="Q38" sqref="Q38"/>
    </sheetView>
  </sheetViews>
  <sheetFormatPr defaultColWidth="9" defaultRowHeight="13.5" outlineLevelCol="6"/>
  <sheetData>
    <row r="1" spans="1:7">
      <c r="A1" s="5" t="s">
        <v>9</v>
      </c>
      <c r="B1" s="5"/>
      <c r="C1" s="5"/>
      <c r="D1" s="5"/>
      <c r="E1" s="5"/>
      <c r="F1" s="5"/>
      <c r="G1" s="5"/>
    </row>
    <row r="2" spans="1:7">
      <c r="A2" s="5">
        <v>64</v>
      </c>
      <c r="B2" s="5">
        <v>0.370400011539459</v>
      </c>
      <c r="C2" s="5">
        <v>0.357600003480911</v>
      </c>
      <c r="D2" s="5">
        <v>0.336800009012222</v>
      </c>
      <c r="E2" s="5">
        <v>0.379599988460541</v>
      </c>
      <c r="F2" s="5">
        <v>0.358599990606308</v>
      </c>
      <c r="G2" s="5">
        <v>0.342900007963181</v>
      </c>
    </row>
    <row r="3" spans="1:7">
      <c r="A3" s="5">
        <v>32</v>
      </c>
      <c r="B3" s="5">
        <v>0.525600016117096</v>
      </c>
      <c r="C3" s="5">
        <v>0.5310999751091</v>
      </c>
      <c r="D3" s="5">
        <v>0.526300013065338</v>
      </c>
      <c r="E3" s="5">
        <v>0.532700002193451</v>
      </c>
      <c r="F3" s="5">
        <v>0.535099983215332</v>
      </c>
      <c r="G3" s="5">
        <v>0.534300029277802</v>
      </c>
    </row>
    <row r="4" spans="1:7">
      <c r="A4" s="5">
        <v>16</v>
      </c>
      <c r="B4" s="5">
        <v>0.370599985122681</v>
      </c>
      <c r="C4" s="5">
        <v>0.35139998793602</v>
      </c>
      <c r="D4" s="5">
        <v>0.36149999499321</v>
      </c>
      <c r="E4" s="5">
        <v>0.376399993896484</v>
      </c>
      <c r="F4" s="5">
        <v>0.356099992990494</v>
      </c>
      <c r="G4" s="5">
        <v>0.364399999380112</v>
      </c>
    </row>
    <row r="5" spans="1:7">
      <c r="A5" s="5">
        <v>8</v>
      </c>
      <c r="B5" s="5">
        <v>0.440100014209747</v>
      </c>
      <c r="C5" s="5">
        <v>0.427300006151199</v>
      </c>
      <c r="D5" s="5">
        <v>0.442099988460541</v>
      </c>
      <c r="E5" s="5">
        <v>0.442699998617172</v>
      </c>
      <c r="F5" s="5">
        <v>0.431800007820129</v>
      </c>
      <c r="G5" s="5">
        <v>0.441700011491776</v>
      </c>
    </row>
    <row r="6" spans="1:7">
      <c r="A6" s="5">
        <v>4</v>
      </c>
      <c r="B6" s="5">
        <v>0.497200012207031</v>
      </c>
      <c r="C6" s="5">
        <v>0.533100008964539</v>
      </c>
      <c r="D6" s="5">
        <v>0.540300011634827</v>
      </c>
      <c r="E6" s="5">
        <v>0.502900004386902</v>
      </c>
      <c r="F6" s="5">
        <v>0.535399973392487</v>
      </c>
      <c r="G6" s="5">
        <v>0.545899987220764</v>
      </c>
    </row>
    <row r="7" spans="1:7">
      <c r="A7" s="5">
        <v>2</v>
      </c>
      <c r="B7" s="5">
        <v>0.553699970245361</v>
      </c>
      <c r="C7" s="5">
        <v>0.547500014305115</v>
      </c>
      <c r="D7" s="5">
        <v>0.549000024795532</v>
      </c>
      <c r="E7" s="5">
        <v>0.55349999666214</v>
      </c>
      <c r="F7" s="5">
        <v>0.544799983501434</v>
      </c>
      <c r="G7" s="5">
        <v>0.549799978733063</v>
      </c>
    </row>
    <row r="8" spans="1:7">
      <c r="A8" s="5">
        <v>1</v>
      </c>
      <c r="B8" s="5">
        <v>0.608799993991852</v>
      </c>
      <c r="C8" s="5">
        <v>0.581200003623962</v>
      </c>
      <c r="D8" s="5">
        <v>0.571699976921082</v>
      </c>
      <c r="E8" s="5">
        <v>0.611000001430511</v>
      </c>
      <c r="F8" s="5">
        <v>0.584999978542328</v>
      </c>
      <c r="G8" s="5">
        <v>0.575600028038025</v>
      </c>
    </row>
    <row r="9" spans="1:7">
      <c r="A9" s="5">
        <v>0.5</v>
      </c>
      <c r="B9" s="5">
        <v>0.655499994754791</v>
      </c>
      <c r="C9" s="5">
        <v>0.676199972629547</v>
      </c>
      <c r="D9" s="5">
        <v>0.634999990463257</v>
      </c>
      <c r="E9" s="5">
        <v>0.661199986934662</v>
      </c>
      <c r="F9" s="5">
        <v>0.676400005817413</v>
      </c>
      <c r="G9" s="5">
        <v>0.637399971485138</v>
      </c>
    </row>
    <row r="10" spans="1:7">
      <c r="A10" s="5">
        <v>0.25</v>
      </c>
      <c r="B10" s="5">
        <v>0.519500017166138</v>
      </c>
      <c r="C10" s="5">
        <v>0.564199984073639</v>
      </c>
      <c r="D10" s="5">
        <v>0.50900000333786</v>
      </c>
      <c r="E10" s="5">
        <v>0.528999984264374</v>
      </c>
      <c r="F10" s="5">
        <v>0.571600019931793</v>
      </c>
      <c r="G10" s="5">
        <v>0.513800024986267</v>
      </c>
    </row>
    <row r="11" spans="1:7">
      <c r="A11" s="5">
        <v>0.125</v>
      </c>
      <c r="B11" s="5">
        <v>0.630999982357025</v>
      </c>
      <c r="C11" s="5">
        <v>0.595899999141693</v>
      </c>
      <c r="D11" s="5">
        <v>0.549000024795532</v>
      </c>
      <c r="E11" s="5">
        <v>0.633599996566772</v>
      </c>
      <c r="F11" s="5">
        <v>0.601400017738342</v>
      </c>
      <c r="G11" s="5">
        <v>0.553099989891052</v>
      </c>
    </row>
    <row r="12" spans="1:7">
      <c r="A12" s="5">
        <v>0</v>
      </c>
      <c r="B12" s="5">
        <v>0.527899980545044</v>
      </c>
      <c r="C12" s="19" t="s">
        <v>10</v>
      </c>
      <c r="D12" s="5">
        <v>0.440499991178513</v>
      </c>
      <c r="E12" s="5">
        <v>0.533900022506714</v>
      </c>
      <c r="F12" s="5">
        <v>0.455300003290176</v>
      </c>
      <c r="G12" s="5">
        <v>0.446299999952316</v>
      </c>
    </row>
    <row r="13" spans="1:7">
      <c r="A13" s="5"/>
      <c r="B13" s="5"/>
      <c r="C13" s="5"/>
      <c r="D13" s="5"/>
      <c r="E13" s="5"/>
      <c r="F13" s="5"/>
      <c r="G13" s="5"/>
    </row>
    <row r="14" spans="1:7">
      <c r="A14" s="5" t="s">
        <v>11</v>
      </c>
      <c r="B14" s="5"/>
      <c r="C14" s="5"/>
      <c r="D14" s="5"/>
      <c r="E14" s="5"/>
      <c r="F14" s="5"/>
      <c r="G14" s="5"/>
    </row>
    <row r="15" spans="1:7">
      <c r="A15" s="5">
        <v>0</v>
      </c>
      <c r="B15" s="7">
        <v>0.538900017738342</v>
      </c>
      <c r="C15" s="7">
        <v>0.523899972438812</v>
      </c>
      <c r="D15" s="7">
        <v>0.501500010490417</v>
      </c>
      <c r="E15" s="7">
        <v>0.5382000207901</v>
      </c>
      <c r="F15" s="7">
        <v>0.525799989700317</v>
      </c>
      <c r="G15" s="17">
        <v>0.506399989128113</v>
      </c>
    </row>
    <row r="16" spans="1:7">
      <c r="A16" s="5">
        <v>0.125</v>
      </c>
      <c r="B16" s="7">
        <v>0.630999982357025</v>
      </c>
      <c r="C16" s="7">
        <v>0.595899999141693</v>
      </c>
      <c r="D16" s="7">
        <v>0.549000024795532</v>
      </c>
      <c r="E16" s="7">
        <v>0.633599996566772</v>
      </c>
      <c r="F16" s="7">
        <v>0.601400017738342</v>
      </c>
      <c r="G16" s="7">
        <v>0.553099989891052</v>
      </c>
    </row>
    <row r="17" spans="1:7">
      <c r="A17" s="5">
        <v>0.25</v>
      </c>
      <c r="B17" s="5">
        <v>0.519500017166138</v>
      </c>
      <c r="C17" s="5">
        <v>0.564199984073639</v>
      </c>
      <c r="D17" s="5">
        <v>0.50900000333786</v>
      </c>
      <c r="E17" s="5">
        <v>0.528999984264374</v>
      </c>
      <c r="F17" s="5">
        <v>0.571600019931793</v>
      </c>
      <c r="G17" s="5">
        <v>0.513800024986267</v>
      </c>
    </row>
    <row r="18" spans="1:7">
      <c r="A18" s="5">
        <v>0.5</v>
      </c>
      <c r="B18" s="5">
        <v>0.655499994754791</v>
      </c>
      <c r="C18" s="5">
        <v>0.676199972629547</v>
      </c>
      <c r="D18" s="5">
        <v>0.634999990463257</v>
      </c>
      <c r="E18" s="5">
        <v>0.661199986934662</v>
      </c>
      <c r="F18" s="5">
        <v>0.676400005817413</v>
      </c>
      <c r="G18" s="5">
        <v>0.637399971485138</v>
      </c>
    </row>
    <row r="19" spans="1:7">
      <c r="A19" s="5">
        <v>1</v>
      </c>
      <c r="B19" s="5">
        <v>0.608799993991852</v>
      </c>
      <c r="C19" s="5">
        <v>0.581200003623962</v>
      </c>
      <c r="D19" s="5">
        <v>0.571699976921082</v>
      </c>
      <c r="E19" s="5">
        <v>0.611000001430511</v>
      </c>
      <c r="F19" s="5">
        <v>0.584999978542328</v>
      </c>
      <c r="G19" s="5">
        <v>0.575600028038025</v>
      </c>
    </row>
    <row r="20" spans="1:7">
      <c r="A20" s="5">
        <v>2</v>
      </c>
      <c r="B20" s="5">
        <v>0.553699970245361</v>
      </c>
      <c r="C20" s="5">
        <v>0.547500014305115</v>
      </c>
      <c r="D20" s="5">
        <v>0.549000024795532</v>
      </c>
      <c r="E20" s="5">
        <v>0.55349999666214</v>
      </c>
      <c r="F20" s="5">
        <v>0.544799983501434</v>
      </c>
      <c r="G20" s="5">
        <v>0.549799978733063</v>
      </c>
    </row>
    <row r="21" spans="1:7">
      <c r="A21" s="5">
        <v>4</v>
      </c>
      <c r="B21" s="5">
        <v>0.497200012207031</v>
      </c>
      <c r="C21" s="5">
        <v>0.533100008964539</v>
      </c>
      <c r="D21" s="5">
        <v>0.540300011634827</v>
      </c>
      <c r="E21" s="5">
        <v>0.502900004386902</v>
      </c>
      <c r="F21" s="5">
        <v>0.535399973392487</v>
      </c>
      <c r="G21" s="5">
        <v>0.545899987220764</v>
      </c>
    </row>
    <row r="22" spans="1:7">
      <c r="A22" s="5">
        <v>8</v>
      </c>
      <c r="B22" s="5">
        <v>0.440100014209747</v>
      </c>
      <c r="C22" s="5">
        <v>0.427300006151199</v>
      </c>
      <c r="D22" s="5">
        <v>0.442099988460541</v>
      </c>
      <c r="E22" s="5">
        <v>0.442699998617172</v>
      </c>
      <c r="F22" s="5">
        <v>0.431800007820129</v>
      </c>
      <c r="G22" s="5">
        <v>0.441700011491776</v>
      </c>
    </row>
    <row r="23" spans="1:7">
      <c r="A23" s="5">
        <v>16</v>
      </c>
      <c r="B23" s="5">
        <v>0.370599985122681</v>
      </c>
      <c r="C23" s="5">
        <v>0.35139998793602</v>
      </c>
      <c r="D23" s="5">
        <v>0.36149999499321</v>
      </c>
      <c r="E23" s="5">
        <v>0.376399993896484</v>
      </c>
      <c r="F23" s="5">
        <v>0.356099992990494</v>
      </c>
      <c r="G23" s="5">
        <v>0.364399999380112</v>
      </c>
    </row>
    <row r="24" spans="1:7">
      <c r="A24" s="5">
        <v>32</v>
      </c>
      <c r="B24" s="5">
        <v>0.525600016117096</v>
      </c>
      <c r="C24" s="5">
        <v>0.5310999751091</v>
      </c>
      <c r="D24" s="5">
        <v>0.526300013065338</v>
      </c>
      <c r="E24" s="5">
        <v>0.532700002193451</v>
      </c>
      <c r="F24" s="5">
        <v>0.535099983215332</v>
      </c>
      <c r="G24" s="5">
        <v>0.534300029277802</v>
      </c>
    </row>
    <row r="25" spans="1:7">
      <c r="A25" s="5">
        <v>64</v>
      </c>
      <c r="B25" s="5">
        <v>0.370400011539459</v>
      </c>
      <c r="C25" s="5">
        <v>0.357600003480911</v>
      </c>
      <c r="D25" s="5">
        <v>0.336800009012222</v>
      </c>
      <c r="E25" s="5">
        <v>0.379599988460541</v>
      </c>
      <c r="F25" s="5">
        <v>0.358599990606308</v>
      </c>
      <c r="G25" s="5">
        <v>0.342900007963181</v>
      </c>
    </row>
    <row r="26" spans="1:7">
      <c r="A26" s="5"/>
      <c r="B26" s="5"/>
      <c r="C26" s="5"/>
      <c r="D26" s="5"/>
      <c r="E26" s="5"/>
      <c r="F26" s="5"/>
      <c r="G26" s="5"/>
    </row>
    <row r="27" spans="1:7">
      <c r="A27" s="5" t="s">
        <v>12</v>
      </c>
      <c r="B27" s="5"/>
      <c r="C27" s="5"/>
      <c r="D27" s="5"/>
      <c r="E27" s="5"/>
      <c r="F27" s="5"/>
      <c r="G27" s="5"/>
    </row>
    <row r="28" spans="1:7">
      <c r="A28" s="5">
        <v>0</v>
      </c>
      <c r="B28" s="5">
        <f t="shared" ref="B28:G28" si="0">B15/0.506399989128113</f>
        <v>1.06417857288304</v>
      </c>
      <c r="C28" s="5">
        <f t="shared" si="0"/>
        <v>1.03455762971249</v>
      </c>
      <c r="D28" s="5">
        <f t="shared" si="0"/>
        <v>0.990323896637257</v>
      </c>
      <c r="E28" s="5">
        <f t="shared" si="0"/>
        <v>1.06279627240265</v>
      </c>
      <c r="F28" s="5">
        <f t="shared" si="0"/>
        <v>1.03830963860328</v>
      </c>
      <c r="G28" s="5">
        <f t="shared" si="0"/>
        <v>1</v>
      </c>
    </row>
    <row r="29" spans="1:7">
      <c r="A29" s="5">
        <v>0.125</v>
      </c>
      <c r="B29" s="5">
        <f t="shared" ref="B29:G29" si="1">B16/0.506399989128113</f>
        <v>1.24605054483402</v>
      </c>
      <c r="C29" s="5">
        <f t="shared" si="1"/>
        <v>1.17673778028249</v>
      </c>
      <c r="D29" s="5">
        <f t="shared" si="1"/>
        <v>1.08412329498815</v>
      </c>
      <c r="E29" s="5">
        <f t="shared" si="1"/>
        <v>1.2511848542052</v>
      </c>
      <c r="F29" s="5">
        <f t="shared" si="1"/>
        <v>1.18759879670178</v>
      </c>
      <c r="G29" s="5">
        <f t="shared" si="1"/>
        <v>1.09221959274396</v>
      </c>
    </row>
    <row r="30" spans="1:7">
      <c r="A30" s="5">
        <v>0.25</v>
      </c>
      <c r="B30" s="5">
        <f t="shared" ref="B30:G30" si="2">B17/0.506399989128113</f>
        <v>1.02586893427976</v>
      </c>
      <c r="C30" s="5">
        <f t="shared" si="2"/>
        <v>1.11413901300638</v>
      </c>
      <c r="D30" s="5">
        <f t="shared" si="2"/>
        <v>1.00513430937118</v>
      </c>
      <c r="E30" s="5">
        <f t="shared" si="2"/>
        <v>1.04462874332832</v>
      </c>
      <c r="F30" s="5">
        <f t="shared" si="2"/>
        <v>1.12875203831646</v>
      </c>
      <c r="G30" s="5">
        <f t="shared" si="2"/>
        <v>1.01461302531008</v>
      </c>
    </row>
    <row r="31" spans="1:7">
      <c r="A31" s="5">
        <v>0.5</v>
      </c>
      <c r="B31" s="5">
        <f t="shared" ref="B31:G31" si="3">B18/0.506399989128113</f>
        <v>1.29443129705312</v>
      </c>
      <c r="C31" s="5">
        <f t="shared" si="3"/>
        <v>1.33530803149065</v>
      </c>
      <c r="D31" s="5">
        <f t="shared" si="3"/>
        <v>1.25394945516598</v>
      </c>
      <c r="E31" s="5">
        <f t="shared" si="3"/>
        <v>1.3056872060228</v>
      </c>
      <c r="F31" s="5">
        <f t="shared" si="3"/>
        <v>1.33570304174373</v>
      </c>
      <c r="G31" s="5">
        <f t="shared" si="3"/>
        <v>1.25868875428408</v>
      </c>
    </row>
    <row r="32" spans="1:7">
      <c r="A32" s="8">
        <v>1</v>
      </c>
      <c r="B32" s="5">
        <f t="shared" ref="B32:G32" si="4">B19/0.506399989128113</f>
        <v>1.20221170430917</v>
      </c>
      <c r="C32" s="5">
        <f t="shared" si="4"/>
        <v>1.14770935249157</v>
      </c>
      <c r="D32" s="5">
        <f t="shared" si="4"/>
        <v>1.12894942574031</v>
      </c>
      <c r="E32" s="5">
        <f t="shared" si="4"/>
        <v>1.20655611087688</v>
      </c>
      <c r="F32" s="5">
        <f t="shared" si="4"/>
        <v>1.15521325257045</v>
      </c>
      <c r="G32" s="5">
        <f t="shared" si="4"/>
        <v>1.13665094864843</v>
      </c>
    </row>
    <row r="33" spans="1:7">
      <c r="A33" s="8">
        <v>2</v>
      </c>
      <c r="B33" s="5">
        <f t="shared" ref="B33:G33" si="5">B20/0.506399989128113</f>
        <v>1.09340438809781</v>
      </c>
      <c r="C33" s="5">
        <f t="shared" si="5"/>
        <v>1.08116118890082</v>
      </c>
      <c r="D33" s="5">
        <f t="shared" si="5"/>
        <v>1.08412329498815</v>
      </c>
      <c r="E33" s="5">
        <f t="shared" si="5"/>
        <v>1.09300949554742</v>
      </c>
      <c r="F33" s="5">
        <f t="shared" si="5"/>
        <v>1.0758293744031</v>
      </c>
      <c r="G33" s="5">
        <f t="shared" si="5"/>
        <v>1.08570298289238</v>
      </c>
    </row>
    <row r="34" spans="1:7">
      <c r="A34" s="8">
        <v>4</v>
      </c>
      <c r="B34" s="5">
        <f t="shared" ref="B34:G34" si="6">B21/0.506399989128113</f>
        <v>0.981832588628365</v>
      </c>
      <c r="C34" s="5">
        <f t="shared" si="6"/>
        <v>1.05272515878682</v>
      </c>
      <c r="D34" s="5">
        <f t="shared" si="6"/>
        <v>1.06694317384382</v>
      </c>
      <c r="E34" s="5">
        <f t="shared" si="6"/>
        <v>0.993088497598041</v>
      </c>
      <c r="F34" s="5">
        <f t="shared" si="6"/>
        <v>1.05726695277838</v>
      </c>
      <c r="G34" s="5">
        <f t="shared" si="6"/>
        <v>1.07800157768696</v>
      </c>
    </row>
    <row r="35" spans="1:7">
      <c r="A35" s="8">
        <v>8</v>
      </c>
      <c r="B35" s="5">
        <f t="shared" ref="B35:G35" si="7">B22/0.506399989128113</f>
        <v>0.869075876102374</v>
      </c>
      <c r="C35" s="5">
        <f t="shared" si="7"/>
        <v>0.843799398350891</v>
      </c>
      <c r="D35" s="5">
        <f t="shared" si="7"/>
        <v>0.873025272417008</v>
      </c>
      <c r="E35" s="5">
        <f t="shared" si="7"/>
        <v>0.874210126622208</v>
      </c>
      <c r="F35" s="5">
        <f t="shared" si="7"/>
        <v>0.852685657761516</v>
      </c>
      <c r="G35" s="5">
        <f t="shared" si="7"/>
        <v>0.87223542846489</v>
      </c>
    </row>
    <row r="36" spans="1:7">
      <c r="A36" s="8">
        <v>16</v>
      </c>
      <c r="B36" s="5">
        <f t="shared" ref="B36:G36" si="8">B23/0.506399989128113</f>
        <v>0.731832529777017</v>
      </c>
      <c r="C36" s="5">
        <f t="shared" si="8"/>
        <v>0.693917842575467</v>
      </c>
      <c r="D36" s="5">
        <f t="shared" si="8"/>
        <v>0.713862564680575</v>
      </c>
      <c r="E36" s="5">
        <f t="shared" si="8"/>
        <v>0.743285943873233</v>
      </c>
      <c r="F36" s="5">
        <f t="shared" si="8"/>
        <v>0.703199053387825</v>
      </c>
      <c r="G36" s="5">
        <f t="shared" si="8"/>
        <v>0.719589271728683</v>
      </c>
    </row>
    <row r="37" spans="1:7">
      <c r="A37" s="5">
        <v>32</v>
      </c>
      <c r="B37" s="5">
        <f t="shared" ref="B37:G37" si="9">B24/0.506399989128113</f>
        <v>1.0379147460529</v>
      </c>
      <c r="C37" s="5">
        <f t="shared" si="9"/>
        <v>1.04877564476949</v>
      </c>
      <c r="D37" s="5">
        <f t="shared" si="9"/>
        <v>1.03929704653329</v>
      </c>
      <c r="E37" s="5">
        <f t="shared" si="9"/>
        <v>1.05193525598336</v>
      </c>
      <c r="F37" s="5">
        <f t="shared" si="9"/>
        <v>1.05667455510146</v>
      </c>
      <c r="G37" s="5">
        <f t="shared" si="9"/>
        <v>1.05509486719722</v>
      </c>
    </row>
    <row r="38" spans="1:7">
      <c r="A38" s="5">
        <v>64</v>
      </c>
      <c r="B38" s="5">
        <f t="shared" ref="B38:G38" si="10">B25/0.506399989128113</f>
        <v>0.731437637226632</v>
      </c>
      <c r="C38" s="5">
        <f t="shared" si="10"/>
        <v>0.706161159475149</v>
      </c>
      <c r="D38" s="5">
        <f t="shared" si="10"/>
        <v>0.665086919911082</v>
      </c>
      <c r="E38" s="5">
        <f t="shared" si="10"/>
        <v>0.749605048598266</v>
      </c>
      <c r="F38" s="5">
        <f t="shared" si="10"/>
        <v>0.708135857632466</v>
      </c>
      <c r="G38" s="5">
        <f t="shared" si="10"/>
        <v>0.677132731684224</v>
      </c>
    </row>
    <row r="39" spans="1:7">
      <c r="A39" s="5"/>
      <c r="B39" s="5"/>
      <c r="C39" s="5"/>
      <c r="D39" s="5"/>
      <c r="E39" s="5"/>
      <c r="F39" s="5"/>
      <c r="G39" s="5"/>
    </row>
    <row r="40" spans="1:7">
      <c r="A40" s="5" t="s">
        <v>13</v>
      </c>
      <c r="B40" s="5"/>
      <c r="C40" s="5"/>
      <c r="D40" s="5"/>
      <c r="E40" s="5"/>
      <c r="F40" s="5"/>
      <c r="G40" s="5"/>
    </row>
    <row r="41" spans="1:7">
      <c r="A41" s="5">
        <v>1</v>
      </c>
      <c r="B41" s="5">
        <f t="shared" ref="B41:B45" si="11">LOG(A41)</f>
        <v>0</v>
      </c>
      <c r="C41" s="5">
        <v>1.20655611087688</v>
      </c>
      <c r="D41" s="5"/>
      <c r="E41" s="5"/>
      <c r="F41" s="5"/>
      <c r="G41" s="5"/>
    </row>
    <row r="42" spans="1:7">
      <c r="A42" s="5">
        <v>2</v>
      </c>
      <c r="B42" s="5">
        <f t="shared" si="11"/>
        <v>0.301029995663981</v>
      </c>
      <c r="C42" s="5">
        <v>1.09340438809781</v>
      </c>
      <c r="D42" s="5"/>
      <c r="E42" s="5"/>
      <c r="F42" s="5"/>
      <c r="G42" s="5"/>
    </row>
    <row r="43" spans="1:7">
      <c r="A43" s="5">
        <v>4</v>
      </c>
      <c r="B43" s="5">
        <f t="shared" si="11"/>
        <v>0.602059991327962</v>
      </c>
      <c r="C43" s="5">
        <v>0.981832588628365</v>
      </c>
      <c r="D43" s="5"/>
      <c r="E43" s="5"/>
      <c r="F43" s="5"/>
      <c r="G43" s="5"/>
    </row>
    <row r="44" spans="1:7">
      <c r="A44" s="5">
        <v>8</v>
      </c>
      <c r="B44" s="5">
        <f t="shared" si="11"/>
        <v>0.903089986991944</v>
      </c>
      <c r="C44" s="5">
        <v>0.869075876102374</v>
      </c>
      <c r="D44" s="5"/>
      <c r="E44" s="5"/>
      <c r="F44" s="5"/>
      <c r="G44" s="5"/>
    </row>
    <row r="45" spans="1:7">
      <c r="A45" s="5">
        <v>16</v>
      </c>
      <c r="B45" s="5">
        <f t="shared" si="11"/>
        <v>1.20411998265592</v>
      </c>
      <c r="C45" s="5">
        <v>0.743285943873233</v>
      </c>
      <c r="D45" s="5"/>
      <c r="E45" s="5"/>
      <c r="F45" s="5"/>
      <c r="G45" s="5"/>
    </row>
    <row r="47" spans="1:7">
      <c r="B47" t="s">
        <v>14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75" zoomScaleNormal="75" topLeftCell="A21" workbookViewId="0">
      <selection activeCell="I62" sqref="I62"/>
    </sheetView>
  </sheetViews>
  <sheetFormatPr defaultColWidth="9" defaultRowHeight="13.5"/>
  <cols>
    <col min="1" max="1" width="9" style="5"/>
    <col min="2" max="18" width="12.625"/>
  </cols>
  <sheetData>
    <row r="1" spans="1:18">
      <c r="A1" s="5" t="s">
        <v>11</v>
      </c>
      <c r="B1" t="s">
        <v>15</v>
      </c>
    </row>
    <row r="2" spans="1:18">
      <c r="B2" s="5">
        <v>0.395700007677078</v>
      </c>
      <c r="C2" s="6">
        <v>0.420300005674362</v>
      </c>
      <c r="D2" s="5">
        <v>0.460099995136261</v>
      </c>
      <c r="E2" s="5">
        <v>0.500100016593933</v>
      </c>
      <c r="F2" s="5">
        <v>0.505500018596649</v>
      </c>
      <c r="G2" s="5">
        <v>0.395700007677078</v>
      </c>
      <c r="H2" s="5">
        <v>0.434700012207031</v>
      </c>
      <c r="I2" s="6">
        <v>0.420700010061264</v>
      </c>
      <c r="J2" s="5">
        <v>0.451999992132187</v>
      </c>
      <c r="K2" s="5">
        <v>0.422199994325638</v>
      </c>
      <c r="L2" s="5">
        <v>0.489300012588501</v>
      </c>
      <c r="M2" s="5">
        <v>0.458600014448166</v>
      </c>
      <c r="N2" s="5">
        <v>0.544099986553192</v>
      </c>
      <c r="O2" s="6">
        <v>0.418000010251999</v>
      </c>
      <c r="P2" s="5">
        <v>0.468600004911423</v>
      </c>
      <c r="Q2" s="5">
        <v>0.43979999423027</v>
      </c>
      <c r="R2" s="5">
        <v>0.469799995422363</v>
      </c>
    </row>
    <row r="3" spans="1:18">
      <c r="B3" s="5">
        <v>0.402900010347366</v>
      </c>
      <c r="C3" s="6">
        <v>0.418599991798401</v>
      </c>
      <c r="D3" s="5">
        <v>0.464700013399124</v>
      </c>
      <c r="E3" s="5">
        <v>0.472299993038177</v>
      </c>
      <c r="F3" s="5">
        <v>0.482199996709824</v>
      </c>
      <c r="G3" s="5">
        <v>0.402900010347366</v>
      </c>
      <c r="H3" s="5">
        <v>0.438100010156631</v>
      </c>
      <c r="I3" s="6">
        <v>0.428899999856949</v>
      </c>
      <c r="J3" s="5">
        <v>0.442900002002716</v>
      </c>
      <c r="K3" s="5">
        <v>0.418599992990494</v>
      </c>
      <c r="L3" s="5">
        <v>0.495099991559982</v>
      </c>
      <c r="M3" s="5">
        <v>0.460399985313416</v>
      </c>
      <c r="N3" s="5">
        <v>0.51690000295639</v>
      </c>
      <c r="O3" s="6">
        <v>0.423099992275238</v>
      </c>
      <c r="P3" s="5">
        <v>0.451099991798401</v>
      </c>
      <c r="Q3" s="5">
        <v>0.478700011968613</v>
      </c>
      <c r="R3" s="5">
        <v>0.474999994039536</v>
      </c>
    </row>
    <row r="4" spans="1:18">
      <c r="B4" s="5">
        <v>0.380699992179871</v>
      </c>
      <c r="C4" s="6">
        <v>0.409599988460541</v>
      </c>
      <c r="D4" s="5">
        <v>0.456200003623962</v>
      </c>
      <c r="E4" s="5">
        <v>0.464800000190735</v>
      </c>
      <c r="F4" s="5">
        <v>0.467900007963181</v>
      </c>
      <c r="G4" s="5">
        <v>0.380699992179871</v>
      </c>
      <c r="H4" s="5">
        <v>0.391499996185303</v>
      </c>
      <c r="I4" s="6">
        <v>0.40260000705719</v>
      </c>
      <c r="J4" s="5">
        <v>0.425799995660782</v>
      </c>
      <c r="K4" s="5">
        <v>0.39520001411438</v>
      </c>
      <c r="L4" s="5">
        <v>0.463899999856949</v>
      </c>
      <c r="M4" s="5">
        <v>0.437200009822845</v>
      </c>
      <c r="N4" s="5">
        <v>0.525699973106384</v>
      </c>
      <c r="O4" s="6">
        <v>0.382299987077713</v>
      </c>
      <c r="P4" s="5">
        <v>0.443399995565414</v>
      </c>
      <c r="Q4" s="5">
        <v>0.445600003004074</v>
      </c>
      <c r="R4" s="5">
        <v>0.417100012302399</v>
      </c>
    </row>
    <row r="5" spans="1:18">
      <c r="B5" s="5">
        <v>0.404100000858307</v>
      </c>
      <c r="C5" s="6">
        <v>0.427700011730194</v>
      </c>
      <c r="D5" s="5">
        <v>0.465099990367889</v>
      </c>
      <c r="E5" s="5">
        <v>0.501800000667572</v>
      </c>
      <c r="F5" s="5">
        <v>0.504000008106232</v>
      </c>
      <c r="G5" s="5">
        <v>0.404100000858307</v>
      </c>
      <c r="H5" s="5">
        <v>0.436500012874603</v>
      </c>
      <c r="I5" s="6">
        <v>0.424500014781952</v>
      </c>
      <c r="J5" s="5">
        <v>0.455000013113022</v>
      </c>
      <c r="K5" s="5">
        <v>0.426499992609024</v>
      </c>
      <c r="L5" s="5">
        <v>0.488299995660782</v>
      </c>
      <c r="M5" s="5">
        <v>0.461299985647202</v>
      </c>
      <c r="N5" s="5">
        <v>0.54449999332428</v>
      </c>
      <c r="O5" s="6">
        <v>0.423499999046326</v>
      </c>
      <c r="P5" s="5">
        <v>0.470800012350082</v>
      </c>
      <c r="Q5" s="5">
        <v>0.443500012159348</v>
      </c>
      <c r="R5" s="5">
        <v>0.470699995756149</v>
      </c>
    </row>
    <row r="6" spans="1:18">
      <c r="B6" s="5">
        <v>0.418900012969971</v>
      </c>
      <c r="C6" s="6">
        <v>0.429399995803833</v>
      </c>
      <c r="D6" s="5">
        <v>0.472699999809265</v>
      </c>
      <c r="E6" s="5">
        <v>0.477200001478195</v>
      </c>
      <c r="F6" s="5">
        <v>0.484499990940094</v>
      </c>
      <c r="G6" s="5">
        <v>0.418900012969971</v>
      </c>
      <c r="H6" s="5">
        <v>0.43979999423027</v>
      </c>
      <c r="I6" s="6">
        <v>0.429399993419647</v>
      </c>
      <c r="J6" s="5">
        <v>0.446700006723404</v>
      </c>
      <c r="K6" s="5">
        <v>0.426600009202957</v>
      </c>
      <c r="L6" s="5">
        <v>0.495000004768372</v>
      </c>
      <c r="M6" s="5">
        <v>0.465900003910065</v>
      </c>
      <c r="N6" s="5">
        <v>0.513599991798401</v>
      </c>
      <c r="O6" s="6">
        <v>0.427399990558624</v>
      </c>
      <c r="P6" s="5">
        <v>0.452800005674362</v>
      </c>
      <c r="Q6" s="5">
        <v>0.484600007534027</v>
      </c>
      <c r="R6" s="5">
        <v>0.47979998588562</v>
      </c>
    </row>
    <row r="7" spans="1:18">
      <c r="B7" s="5">
        <v>0.389400005340576</v>
      </c>
      <c r="C7" s="6">
        <v>0.418000011444092</v>
      </c>
      <c r="D7" s="5">
        <v>0.461600005626678</v>
      </c>
      <c r="E7" s="5">
        <v>0.472200006246567</v>
      </c>
      <c r="F7" s="5">
        <v>0.469900012016296</v>
      </c>
      <c r="G7" s="5">
        <v>0.389400005340576</v>
      </c>
      <c r="H7" s="5">
        <v>0.399100005626678</v>
      </c>
      <c r="I7" s="6">
        <v>0.414200004339218</v>
      </c>
      <c r="J7" s="5">
        <v>0.42849999666214</v>
      </c>
      <c r="K7" s="5">
        <v>0.404599994421005</v>
      </c>
      <c r="L7" s="5">
        <v>0.466699987649918</v>
      </c>
      <c r="M7" s="5">
        <v>0.442699998617172</v>
      </c>
      <c r="N7" s="5">
        <v>0.527999997138977</v>
      </c>
      <c r="O7" s="6">
        <v>0.382100013494492</v>
      </c>
      <c r="P7" s="5">
        <v>0.447100013494492</v>
      </c>
      <c r="Q7" s="5">
        <v>0.448500007390976</v>
      </c>
      <c r="R7" s="5">
        <v>0.418799996376038</v>
      </c>
    </row>
    <row r="8" spans="1:18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5" t="s">
        <v>12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B10" s="5">
        <f t="shared" ref="B10:B15" si="0">B2/0.506399989128113</f>
        <v>0.781398136201324</v>
      </c>
      <c r="C10" s="5">
        <f t="shared" ref="C10:R10" si="1">C2/0.506399989128113</f>
        <v>0.82997633234157</v>
      </c>
      <c r="D10" s="5">
        <f t="shared" si="1"/>
        <v>0.908570310059508</v>
      </c>
      <c r="E10" s="5">
        <f t="shared" si="1"/>
        <v>0.987559295676473</v>
      </c>
      <c r="F10" s="5">
        <f t="shared" si="1"/>
        <v>0.998222806969223</v>
      </c>
      <c r="G10" s="5">
        <f t="shared" si="1"/>
        <v>0.781398136201324</v>
      </c>
      <c r="H10" s="5">
        <f t="shared" si="1"/>
        <v>0.858412364809624</v>
      </c>
      <c r="I10" s="5">
        <f t="shared" si="1"/>
        <v>0.830766230436928</v>
      </c>
      <c r="J10" s="5">
        <f t="shared" si="1"/>
        <v>0.892575043120383</v>
      </c>
      <c r="K10" s="5">
        <f t="shared" si="1"/>
        <v>0.833728284735066</v>
      </c>
      <c r="L10" s="5">
        <f t="shared" si="1"/>
        <v>0.966232273090974</v>
      </c>
      <c r="M10" s="5">
        <f t="shared" si="1"/>
        <v>0.905608262823532</v>
      </c>
      <c r="N10" s="5">
        <f t="shared" si="1"/>
        <v>1.07444707392271</v>
      </c>
      <c r="O10" s="5">
        <f t="shared" si="1"/>
        <v>0.825434477144608</v>
      </c>
      <c r="P10" s="5">
        <f t="shared" si="1"/>
        <v>0.925355479802099</v>
      </c>
      <c r="Q10" s="5">
        <f t="shared" si="1"/>
        <v>0.868483419574099</v>
      </c>
      <c r="R10" s="5">
        <f t="shared" si="1"/>
        <v>0.927725129361149</v>
      </c>
    </row>
    <row r="11" spans="1:18">
      <c r="B11" s="5">
        <f t="shared" si="0"/>
        <v>0.795616151258324</v>
      </c>
      <c r="C11" s="5">
        <f t="shared" ref="C11:R11" si="2">C3/0.506399989128113</f>
        <v>0.826619274852513</v>
      </c>
      <c r="D11" s="5">
        <f t="shared" si="2"/>
        <v>0.917654074596674</v>
      </c>
      <c r="E11" s="5">
        <f t="shared" si="2"/>
        <v>0.932661933605791</v>
      </c>
      <c r="F11" s="5">
        <f t="shared" si="2"/>
        <v>0.952211704309166</v>
      </c>
      <c r="G11" s="5">
        <f t="shared" si="2"/>
        <v>0.795616151258324</v>
      </c>
      <c r="H11" s="5">
        <f t="shared" si="2"/>
        <v>0.86512642093639</v>
      </c>
      <c r="I11" s="5">
        <f t="shared" si="2"/>
        <v>0.846958943651246</v>
      </c>
      <c r="J11" s="5">
        <f t="shared" si="2"/>
        <v>0.874605078023941</v>
      </c>
      <c r="K11" s="5">
        <f t="shared" si="2"/>
        <v>0.826619277206566</v>
      </c>
      <c r="L11" s="5">
        <f t="shared" si="2"/>
        <v>0.977685628335841</v>
      </c>
      <c r="M11" s="5">
        <f t="shared" si="2"/>
        <v>0.909162707736433</v>
      </c>
      <c r="N11" s="5">
        <f t="shared" si="2"/>
        <v>1.02073462490857</v>
      </c>
      <c r="O11" s="5">
        <f t="shared" si="2"/>
        <v>0.835505531909083</v>
      </c>
      <c r="P11" s="5">
        <f t="shared" si="2"/>
        <v>0.890797791238258</v>
      </c>
      <c r="Q11" s="5">
        <f t="shared" si="2"/>
        <v>0.945300201907207</v>
      </c>
      <c r="R11" s="5">
        <f t="shared" si="2"/>
        <v>0.937993689252166</v>
      </c>
    </row>
    <row r="12" spans="1:18">
      <c r="B12" s="5">
        <f t="shared" si="0"/>
        <v>0.751777251882125</v>
      </c>
      <c r="C12" s="5">
        <f t="shared" ref="C12:R12" si="3">C4/0.506399989128113</f>
        <v>0.808846756031263</v>
      </c>
      <c r="D12" s="5">
        <f t="shared" si="3"/>
        <v>0.900868904854082</v>
      </c>
      <c r="E12" s="5">
        <f t="shared" si="3"/>
        <v>0.917851520871866</v>
      </c>
      <c r="F12" s="5">
        <f t="shared" si="3"/>
        <v>0.923973179321707</v>
      </c>
      <c r="G12" s="5">
        <f t="shared" si="3"/>
        <v>0.751777251882125</v>
      </c>
      <c r="H12" s="5">
        <f t="shared" si="3"/>
        <v>0.773104274467624</v>
      </c>
      <c r="I12" s="5">
        <f t="shared" si="3"/>
        <v>0.795023727686805</v>
      </c>
      <c r="J12" s="5">
        <f t="shared" si="3"/>
        <v>0.840837292263566</v>
      </c>
      <c r="K12" s="5">
        <f t="shared" si="3"/>
        <v>0.780410787122665</v>
      </c>
      <c r="L12" s="5">
        <f t="shared" si="3"/>
        <v>0.916074268989741</v>
      </c>
      <c r="M12" s="5">
        <f t="shared" si="3"/>
        <v>0.863349169054266</v>
      </c>
      <c r="N12" s="5">
        <f t="shared" si="3"/>
        <v>1.03811213347674</v>
      </c>
      <c r="O12" s="5">
        <f t="shared" si="3"/>
        <v>0.754936799536533</v>
      </c>
      <c r="P12" s="5">
        <f t="shared" si="3"/>
        <v>0.875592427102599</v>
      </c>
      <c r="Q12" s="5">
        <f t="shared" si="3"/>
        <v>0.879936833670316</v>
      </c>
      <c r="R12" s="5">
        <f t="shared" si="3"/>
        <v>0.82365722997059</v>
      </c>
    </row>
    <row r="13" spans="1:18">
      <c r="B13" s="5">
        <f t="shared" si="0"/>
        <v>0.797985800817374</v>
      </c>
      <c r="C13" s="5">
        <f t="shared" ref="C13:R13" si="4">C5/0.506399989128113</f>
        <v>0.844589298800303</v>
      </c>
      <c r="D13" s="5">
        <f t="shared" si="4"/>
        <v>0.918443918548791</v>
      </c>
      <c r="E13" s="5">
        <f t="shared" si="4"/>
        <v>0.990916294314182</v>
      </c>
      <c r="F13" s="5">
        <f t="shared" si="4"/>
        <v>0.995260700881899</v>
      </c>
      <c r="G13" s="5">
        <f t="shared" si="4"/>
        <v>0.797985800817374</v>
      </c>
      <c r="H13" s="5">
        <f t="shared" si="4"/>
        <v>0.861966868573874</v>
      </c>
      <c r="I13" s="5">
        <f t="shared" si="4"/>
        <v>0.838270189367162</v>
      </c>
      <c r="J13" s="5">
        <f t="shared" si="4"/>
        <v>0.898499255295032</v>
      </c>
      <c r="K13" s="5">
        <f t="shared" si="4"/>
        <v>0.842219592743958</v>
      </c>
      <c r="L13" s="5">
        <f t="shared" si="4"/>
        <v>0.964257516082308</v>
      </c>
      <c r="M13" s="5">
        <f t="shared" si="4"/>
        <v>0.910939959618558</v>
      </c>
      <c r="N13" s="5">
        <f t="shared" si="4"/>
        <v>1.07523697672617</v>
      </c>
      <c r="O13" s="5">
        <f t="shared" si="4"/>
        <v>0.83629543471255</v>
      </c>
      <c r="P13" s="5">
        <f t="shared" si="4"/>
        <v>0.929699886369815</v>
      </c>
      <c r="Q13" s="5">
        <f t="shared" si="4"/>
        <v>0.87578993222914</v>
      </c>
      <c r="R13" s="5">
        <f t="shared" si="4"/>
        <v>0.929502381243274</v>
      </c>
    </row>
    <row r="14" spans="1:18">
      <c r="B14" s="5">
        <f t="shared" si="0"/>
        <v>0.82721173373484</v>
      </c>
      <c r="C14" s="5">
        <f t="shared" ref="C14:R14" si="5">C6/0.506399989128113</f>
        <v>0.847946297438012</v>
      </c>
      <c r="D14" s="5">
        <f t="shared" si="5"/>
        <v>0.933451836409258</v>
      </c>
      <c r="E14" s="5">
        <f t="shared" si="5"/>
        <v>0.942338095819882</v>
      </c>
      <c r="F14" s="5">
        <f t="shared" si="5"/>
        <v>0.956753557152075</v>
      </c>
      <c r="G14" s="5">
        <f t="shared" si="5"/>
        <v>0.82721173373484</v>
      </c>
      <c r="H14" s="5">
        <f t="shared" si="5"/>
        <v>0.868483419574099</v>
      </c>
      <c r="I14" s="5">
        <f t="shared" si="5"/>
        <v>0.847946292729904</v>
      </c>
      <c r="J14" s="5">
        <f t="shared" si="5"/>
        <v>0.882109036954174</v>
      </c>
      <c r="K14" s="5">
        <f t="shared" si="5"/>
        <v>0.842417097870499</v>
      </c>
      <c r="L14" s="5">
        <f t="shared" si="5"/>
        <v>0.977488182060649</v>
      </c>
      <c r="M14" s="5">
        <f t="shared" si="5"/>
        <v>0.920023724155724</v>
      </c>
      <c r="N14" s="5">
        <f t="shared" si="5"/>
        <v>1.014218015057</v>
      </c>
      <c r="O14" s="5">
        <f t="shared" si="5"/>
        <v>0.843996839917974</v>
      </c>
      <c r="P14" s="5">
        <f t="shared" si="5"/>
        <v>0.894154848727316</v>
      </c>
      <c r="Q14" s="5">
        <f t="shared" si="5"/>
        <v>0.956951062278615</v>
      </c>
      <c r="R14" s="5">
        <f t="shared" si="5"/>
        <v>0.947472346339716</v>
      </c>
    </row>
    <row r="15" spans="1:18">
      <c r="B15" s="5">
        <f t="shared" si="0"/>
        <v>0.768957373026449</v>
      </c>
      <c r="C15" s="5">
        <f t="shared" ref="C15:R15" si="6">C7/0.506399989128113</f>
        <v>0.825434479498662</v>
      </c>
      <c r="D15" s="5">
        <f t="shared" si="6"/>
        <v>0.911532416146832</v>
      </c>
      <c r="E15" s="5">
        <f t="shared" si="6"/>
        <v>0.932464487330599</v>
      </c>
      <c r="F15" s="5">
        <f t="shared" si="6"/>
        <v>0.92792263448769</v>
      </c>
      <c r="G15" s="5">
        <f t="shared" si="6"/>
        <v>0.768957373026449</v>
      </c>
      <c r="H15" s="5">
        <f t="shared" si="6"/>
        <v>0.788112192328091</v>
      </c>
      <c r="I15" s="5">
        <f t="shared" si="6"/>
        <v>0.81793051586032</v>
      </c>
      <c r="J15" s="5">
        <f t="shared" si="6"/>
        <v>0.846169047909941</v>
      </c>
      <c r="K15" s="5">
        <f t="shared" si="6"/>
        <v>0.798973149896033</v>
      </c>
      <c r="L15" s="5">
        <f t="shared" si="6"/>
        <v>0.921603470911308</v>
      </c>
      <c r="M15" s="5">
        <f t="shared" si="6"/>
        <v>0.874210126622208</v>
      </c>
      <c r="N15" s="5">
        <f t="shared" si="6"/>
        <v>1.042654045171</v>
      </c>
      <c r="O15" s="5">
        <f t="shared" si="6"/>
        <v>0.75454190698615</v>
      </c>
      <c r="P15" s="5">
        <f t="shared" si="6"/>
        <v>0.88289893975764</v>
      </c>
      <c r="Q15" s="5">
        <f t="shared" si="6"/>
        <v>0.885663540718424</v>
      </c>
      <c r="R15" s="5">
        <f t="shared" si="6"/>
        <v>0.827014228608299</v>
      </c>
    </row>
    <row r="16" spans="1:18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5" t="s">
        <v>16</v>
      </c>
      <c r="B17" s="5" t="s">
        <v>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B18" s="5">
        <f t="shared" ref="B18:B23" si="7">(1.209-B10)/0.3823</f>
        <v>1.11849820507109</v>
      </c>
      <c r="C18" s="5">
        <f t="shared" ref="C18:R18" si="8">(1.209-C10)/0.3823</f>
        <v>0.991429944175858</v>
      </c>
      <c r="D18" s="5">
        <f t="shared" si="8"/>
        <v>0.785847998798044</v>
      </c>
      <c r="E18" s="5">
        <f t="shared" si="8"/>
        <v>0.579232812774069</v>
      </c>
      <c r="F18" s="5">
        <f t="shared" si="8"/>
        <v>0.551339767279039</v>
      </c>
      <c r="G18" s="5">
        <f t="shared" si="8"/>
        <v>1.11849820507109</v>
      </c>
      <c r="H18" s="5">
        <f t="shared" si="8"/>
        <v>0.917048483364835</v>
      </c>
      <c r="I18" s="5">
        <f t="shared" si="8"/>
        <v>0.989363770763986</v>
      </c>
      <c r="J18" s="5">
        <f t="shared" si="8"/>
        <v>0.827687567040589</v>
      </c>
      <c r="K18" s="5">
        <f t="shared" si="8"/>
        <v>0.981615786724912</v>
      </c>
      <c r="L18" s="5">
        <f t="shared" si="8"/>
        <v>0.635018903764129</v>
      </c>
      <c r="M18" s="5">
        <f t="shared" si="8"/>
        <v>0.79359596436429</v>
      </c>
      <c r="N18" s="5">
        <f t="shared" si="8"/>
        <v>0.351956385240105</v>
      </c>
      <c r="O18" s="5">
        <f t="shared" si="8"/>
        <v>1.00331028735389</v>
      </c>
      <c r="P18" s="5">
        <f t="shared" si="8"/>
        <v>0.74194224482841</v>
      </c>
      <c r="Q18" s="5">
        <f t="shared" si="8"/>
        <v>0.890705154135236</v>
      </c>
      <c r="R18" s="5">
        <f t="shared" si="8"/>
        <v>0.735743841587368</v>
      </c>
    </row>
    <row r="19" spans="1:18">
      <c r="B19" s="5">
        <f t="shared" si="7"/>
        <v>1.08130747774438</v>
      </c>
      <c r="C19" s="5">
        <f t="shared" ref="C19:R19" si="9">(1.209-C11)/0.3823</f>
        <v>1.00021115654587</v>
      </c>
      <c r="D19" s="5">
        <f t="shared" si="9"/>
        <v>0.762087170816967</v>
      </c>
      <c r="E19" s="5">
        <f t="shared" si="9"/>
        <v>0.722830411703398</v>
      </c>
      <c r="F19" s="5">
        <f t="shared" si="9"/>
        <v>0.671693161629176</v>
      </c>
      <c r="G19" s="5">
        <f t="shared" si="9"/>
        <v>1.08130747774438</v>
      </c>
      <c r="H19" s="5">
        <f t="shared" si="9"/>
        <v>0.899486212565026</v>
      </c>
      <c r="I19" s="5">
        <f t="shared" si="9"/>
        <v>0.947007733059781</v>
      </c>
      <c r="J19" s="5">
        <f t="shared" si="9"/>
        <v>0.874692445660631</v>
      </c>
      <c r="K19" s="5">
        <f t="shared" si="9"/>
        <v>1.00021115038827</v>
      </c>
      <c r="L19" s="5">
        <f t="shared" si="9"/>
        <v>0.605059826482236</v>
      </c>
      <c r="M19" s="5">
        <f t="shared" si="9"/>
        <v>0.784298436472841</v>
      </c>
      <c r="N19" s="5">
        <f t="shared" si="9"/>
        <v>0.492454551638572</v>
      </c>
      <c r="O19" s="5">
        <f t="shared" si="9"/>
        <v>0.976966958124292</v>
      </c>
      <c r="P19" s="5">
        <f t="shared" si="9"/>
        <v>0.832336407956427</v>
      </c>
      <c r="Q19" s="5">
        <f t="shared" si="9"/>
        <v>0.689771901890644</v>
      </c>
      <c r="R19" s="5">
        <f t="shared" si="9"/>
        <v>0.708883888955883</v>
      </c>
    </row>
    <row r="20" spans="1:18">
      <c r="B20" s="5">
        <f t="shared" si="7"/>
        <v>1.19597893831513</v>
      </c>
      <c r="C20" s="5">
        <f t="shared" ref="C20:R20" si="10">(1.209-C12)/0.3823</f>
        <v>1.04669956570426</v>
      </c>
      <c r="D20" s="5">
        <f t="shared" si="10"/>
        <v>0.805992924786601</v>
      </c>
      <c r="E20" s="5">
        <f t="shared" si="10"/>
        <v>0.761570701355308</v>
      </c>
      <c r="F20" s="5">
        <f t="shared" si="10"/>
        <v>0.745557992880703</v>
      </c>
      <c r="G20" s="5">
        <f t="shared" si="10"/>
        <v>1.19597893831513</v>
      </c>
      <c r="H20" s="5">
        <f t="shared" si="10"/>
        <v>1.14019284732507</v>
      </c>
      <c r="I20" s="5">
        <f t="shared" si="10"/>
        <v>1.08285710780328</v>
      </c>
      <c r="J20" s="5">
        <f t="shared" si="10"/>
        <v>0.963020423061559</v>
      </c>
      <c r="K20" s="5">
        <f t="shared" si="10"/>
        <v>1.12108086025983</v>
      </c>
      <c r="L20" s="5">
        <f t="shared" si="10"/>
        <v>0.766219542271146</v>
      </c>
      <c r="M20" s="5">
        <f t="shared" si="10"/>
        <v>0.904135053480865</v>
      </c>
      <c r="N20" s="5">
        <f t="shared" si="10"/>
        <v>0.446999389283961</v>
      </c>
      <c r="O20" s="5">
        <f t="shared" si="10"/>
        <v>1.18771436166222</v>
      </c>
      <c r="P20" s="5">
        <f t="shared" si="10"/>
        <v>0.872109790471882</v>
      </c>
      <c r="Q20" s="5">
        <f t="shared" si="10"/>
        <v>0.860745922913116</v>
      </c>
      <c r="R20" s="5">
        <f t="shared" si="10"/>
        <v>1.00795911595451</v>
      </c>
    </row>
    <row r="21" spans="1:18">
      <c r="B21" s="5">
        <f t="shared" si="7"/>
        <v>1.07510907450334</v>
      </c>
      <c r="C21" s="5">
        <f t="shared" ref="C21:R21" si="11">(1.209-C13)/0.3823</f>
        <v>0.953206123985606</v>
      </c>
      <c r="D21" s="5">
        <f t="shared" si="11"/>
        <v>0.760021139030104</v>
      </c>
      <c r="E21" s="5">
        <f t="shared" si="11"/>
        <v>0.570451754344278</v>
      </c>
      <c r="F21" s="5">
        <f t="shared" si="11"/>
        <v>0.559087886785512</v>
      </c>
      <c r="G21" s="5">
        <f t="shared" si="11"/>
        <v>1.07510907450334</v>
      </c>
      <c r="H21" s="5">
        <f t="shared" si="11"/>
        <v>0.907750801533158</v>
      </c>
      <c r="I21" s="5">
        <f t="shared" si="11"/>
        <v>0.969735314237087</v>
      </c>
      <c r="J21" s="5">
        <f t="shared" si="11"/>
        <v>0.812191328027643</v>
      </c>
      <c r="K21" s="5">
        <f t="shared" si="11"/>
        <v>0.959404675009266</v>
      </c>
      <c r="L21" s="5">
        <f t="shared" si="11"/>
        <v>0.640184368081853</v>
      </c>
      <c r="M21" s="5">
        <f t="shared" si="11"/>
        <v>0.779649595557002</v>
      </c>
      <c r="N21" s="5">
        <f t="shared" si="11"/>
        <v>0.349890199513016</v>
      </c>
      <c r="O21" s="5">
        <f t="shared" si="11"/>
        <v>0.974900772397201</v>
      </c>
      <c r="P21" s="5">
        <f t="shared" si="11"/>
        <v>0.730578377269643</v>
      </c>
      <c r="Q21" s="5">
        <f t="shared" si="11"/>
        <v>0.871593167069997</v>
      </c>
      <c r="R21" s="5">
        <f t="shared" si="11"/>
        <v>0.73109500067153</v>
      </c>
    </row>
    <row r="22" spans="1:18">
      <c r="B22" s="5">
        <f t="shared" si="7"/>
        <v>0.998661434122835</v>
      </c>
      <c r="C22" s="5">
        <f t="shared" ref="C22:R22" si="12">(1.209-C14)/0.3823</f>
        <v>0.944425065555815</v>
      </c>
      <c r="D22" s="5">
        <f t="shared" si="12"/>
        <v>0.720764225976308</v>
      </c>
      <c r="E22" s="5">
        <f t="shared" si="12"/>
        <v>0.697520021397116</v>
      </c>
      <c r="F22" s="5">
        <f t="shared" si="12"/>
        <v>0.659812824608751</v>
      </c>
      <c r="G22" s="5">
        <f t="shared" si="12"/>
        <v>0.998661434122835</v>
      </c>
      <c r="H22" s="5">
        <f t="shared" si="12"/>
        <v>0.890705154135236</v>
      </c>
      <c r="I22" s="5">
        <f t="shared" si="12"/>
        <v>0.944425077871034</v>
      </c>
      <c r="J22" s="5">
        <f t="shared" si="12"/>
        <v>0.855063989133733</v>
      </c>
      <c r="K22" s="5">
        <f t="shared" si="12"/>
        <v>0.95888805160738</v>
      </c>
      <c r="L22" s="5">
        <f t="shared" si="12"/>
        <v>0.605576295943895</v>
      </c>
      <c r="M22" s="5">
        <f t="shared" si="12"/>
        <v>0.755888767575925</v>
      </c>
      <c r="N22" s="5">
        <f t="shared" si="12"/>
        <v>0.509500352976721</v>
      </c>
      <c r="O22" s="5">
        <f t="shared" si="12"/>
        <v>0.954755846408647</v>
      </c>
      <c r="P22" s="5">
        <f t="shared" si="12"/>
        <v>0.82355519558641</v>
      </c>
      <c r="Q22" s="5">
        <f t="shared" si="12"/>
        <v>0.659296201206865</v>
      </c>
      <c r="R22" s="5">
        <f t="shared" si="12"/>
        <v>0.684090122051487</v>
      </c>
    </row>
    <row r="23" spans="1:18">
      <c r="B23" s="5">
        <f t="shared" si="7"/>
        <v>1.15104009148195</v>
      </c>
      <c r="C23" s="5">
        <f t="shared" ref="C23:R23" si="13">(1.209-C15)/0.3823</f>
        <v>1.00331028119628</v>
      </c>
      <c r="D23" s="5">
        <f t="shared" si="13"/>
        <v>0.778099879291571</v>
      </c>
      <c r="E23" s="5">
        <f t="shared" si="13"/>
        <v>0.723346881165057</v>
      </c>
      <c r="F23" s="5">
        <f t="shared" si="13"/>
        <v>0.735227218185482</v>
      </c>
      <c r="G23" s="5">
        <f t="shared" si="13"/>
        <v>1.15104009148195</v>
      </c>
      <c r="H23" s="5">
        <f t="shared" si="13"/>
        <v>1.10093593427128</v>
      </c>
      <c r="I23" s="5">
        <f t="shared" si="13"/>
        <v>1.0229387500384</v>
      </c>
      <c r="J23" s="5">
        <f t="shared" si="13"/>
        <v>0.949073900314044</v>
      </c>
      <c r="K23" s="5">
        <f t="shared" si="13"/>
        <v>1.07252641931459</v>
      </c>
      <c r="L23" s="5">
        <f t="shared" si="13"/>
        <v>0.751756550061973</v>
      </c>
      <c r="M23" s="5">
        <f t="shared" si="13"/>
        <v>0.875725538524176</v>
      </c>
      <c r="N23" s="5">
        <f t="shared" si="13"/>
        <v>0.435118898323309</v>
      </c>
      <c r="O23" s="5">
        <f t="shared" si="13"/>
        <v>1.18874730058554</v>
      </c>
      <c r="P23" s="5">
        <f t="shared" si="13"/>
        <v>0.852997803406643</v>
      </c>
      <c r="Q23" s="5">
        <f t="shared" si="13"/>
        <v>0.845766307302056</v>
      </c>
      <c r="R23" s="5">
        <f t="shared" si="13"/>
        <v>0.999178057524721</v>
      </c>
    </row>
    <row r="24" spans="1:18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5" t="s"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B26" s="7">
        <f t="shared" ref="B26:B31" si="14">10^(B18)</f>
        <v>13.1370606543247</v>
      </c>
      <c r="C26" s="8">
        <f t="shared" ref="C26:R26" si="15">10^(C18)</f>
        <v>9.80460144033107</v>
      </c>
      <c r="D26" s="8">
        <f t="shared" si="15"/>
        <v>6.10728235237757</v>
      </c>
      <c r="E26" s="8">
        <f t="shared" si="15"/>
        <v>3.79518379333651</v>
      </c>
      <c r="F26" s="8">
        <f t="shared" si="15"/>
        <v>3.55909653129545</v>
      </c>
      <c r="G26" s="9">
        <f t="shared" si="15"/>
        <v>13.1370606543247</v>
      </c>
      <c r="H26" s="9">
        <f t="shared" si="15"/>
        <v>8.2613017118374</v>
      </c>
      <c r="I26" s="9">
        <f t="shared" si="15"/>
        <v>9.7580664396758</v>
      </c>
      <c r="J26" s="9">
        <f t="shared" si="15"/>
        <v>6.72492688644135</v>
      </c>
      <c r="K26" s="10">
        <f t="shared" si="15"/>
        <v>9.58552240692265</v>
      </c>
      <c r="L26" s="10">
        <f t="shared" si="15"/>
        <v>4.31537860194173</v>
      </c>
      <c r="M26" s="10">
        <f t="shared" si="15"/>
        <v>6.21721611984552</v>
      </c>
      <c r="N26" s="10">
        <f t="shared" si="15"/>
        <v>2.24882875205373</v>
      </c>
      <c r="O26" s="11">
        <f t="shared" si="15"/>
        <v>10.0765134136768</v>
      </c>
      <c r="P26" s="11">
        <f t="shared" si="15"/>
        <v>5.52004025483196</v>
      </c>
      <c r="Q26" s="11">
        <f t="shared" si="15"/>
        <v>7.7750851530396</v>
      </c>
      <c r="R26" s="11">
        <f t="shared" si="15"/>
        <v>5.44181585421734</v>
      </c>
    </row>
    <row r="27" spans="1:18">
      <c r="B27" s="7">
        <f t="shared" si="14"/>
        <v>12.0588940027692</v>
      </c>
      <c r="C27" s="8">
        <f t="shared" ref="C27:R27" si="16">10^(C19)</f>
        <v>10.0048632413207</v>
      </c>
      <c r="D27" s="8">
        <f t="shared" si="16"/>
        <v>5.78212093463366</v>
      </c>
      <c r="E27" s="8">
        <f t="shared" si="16"/>
        <v>5.28238938689132</v>
      </c>
      <c r="F27" s="8">
        <f t="shared" si="16"/>
        <v>4.69562235585718</v>
      </c>
      <c r="G27" s="9">
        <f t="shared" si="16"/>
        <v>12.0588940027692</v>
      </c>
      <c r="H27" s="9">
        <f t="shared" si="16"/>
        <v>7.93389068859044</v>
      </c>
      <c r="I27" s="9">
        <f t="shared" si="16"/>
        <v>8.85131370364638</v>
      </c>
      <c r="J27" s="9">
        <f t="shared" si="16"/>
        <v>7.49363344715793</v>
      </c>
      <c r="K27" s="10">
        <f t="shared" si="16"/>
        <v>10.0048630994676</v>
      </c>
      <c r="L27" s="10">
        <f t="shared" si="16"/>
        <v>4.02772514659801</v>
      </c>
      <c r="M27" s="10">
        <f t="shared" si="16"/>
        <v>6.08553040292009</v>
      </c>
      <c r="N27" s="10">
        <f t="shared" si="16"/>
        <v>3.1078106573157</v>
      </c>
      <c r="O27" s="11">
        <f t="shared" si="16"/>
        <v>9.48346308727876</v>
      </c>
      <c r="P27" s="11">
        <f t="shared" si="16"/>
        <v>6.79729952967359</v>
      </c>
      <c r="Q27" s="11">
        <f t="shared" si="16"/>
        <v>4.89521647576983</v>
      </c>
      <c r="R27" s="11">
        <f t="shared" si="16"/>
        <v>5.11545052842597</v>
      </c>
    </row>
    <row r="28" spans="1:18">
      <c r="B28" s="7">
        <f t="shared" si="14"/>
        <v>15.7028664936059</v>
      </c>
      <c r="C28" s="8">
        <f t="shared" ref="C28:R28" si="17">10^(C20)</f>
        <v>11.1352395846252</v>
      </c>
      <c r="D28" s="8">
        <f t="shared" si="17"/>
        <v>6.39724413467635</v>
      </c>
      <c r="E28" s="8">
        <f t="shared" si="17"/>
        <v>5.77524883737063</v>
      </c>
      <c r="F28" s="8">
        <f t="shared" si="17"/>
        <v>5.56618956597042</v>
      </c>
      <c r="G28" s="9">
        <f t="shared" si="17"/>
        <v>15.7028664936059</v>
      </c>
      <c r="H28" s="9">
        <f t="shared" si="17"/>
        <v>13.8099735672427</v>
      </c>
      <c r="I28" s="9">
        <f t="shared" si="17"/>
        <v>12.1019988632635</v>
      </c>
      <c r="J28" s="9">
        <f t="shared" si="17"/>
        <v>9.18375782858096</v>
      </c>
      <c r="K28" s="10">
        <f t="shared" si="17"/>
        <v>13.2154166599112</v>
      </c>
      <c r="L28" s="10">
        <f t="shared" si="17"/>
        <v>5.83740118946939</v>
      </c>
      <c r="M28" s="10">
        <f t="shared" si="17"/>
        <v>8.01927401690688</v>
      </c>
      <c r="N28" s="10">
        <f t="shared" si="17"/>
        <v>2.79897738363781</v>
      </c>
      <c r="O28" s="11">
        <f t="shared" si="17"/>
        <v>15.406867997992</v>
      </c>
      <c r="P28" s="11">
        <f t="shared" si="17"/>
        <v>7.44920267366364</v>
      </c>
      <c r="Q28" s="11">
        <f t="shared" si="17"/>
        <v>7.25681284916667</v>
      </c>
      <c r="R28" s="11">
        <f t="shared" si="17"/>
        <v>10.1849550339918</v>
      </c>
    </row>
    <row r="29" spans="1:18">
      <c r="B29" s="7">
        <f t="shared" si="14"/>
        <v>11.88800761211</v>
      </c>
      <c r="C29" s="8">
        <f t="shared" ref="C29:R29" si="18">10^(C21)</f>
        <v>8.97854831469616</v>
      </c>
      <c r="D29" s="8">
        <f t="shared" si="18"/>
        <v>5.75467947221496</v>
      </c>
      <c r="E29" s="8">
        <f t="shared" si="18"/>
        <v>3.71921902164116</v>
      </c>
      <c r="F29" s="8">
        <f t="shared" si="18"/>
        <v>3.62316311791751</v>
      </c>
      <c r="G29" s="9">
        <f t="shared" si="18"/>
        <v>11.88800761211</v>
      </c>
      <c r="H29" s="9">
        <f t="shared" si="18"/>
        <v>8.0863177257615</v>
      </c>
      <c r="I29" s="9">
        <f t="shared" si="18"/>
        <v>9.32685691528728</v>
      </c>
      <c r="J29" s="9">
        <f t="shared" si="18"/>
        <v>6.48920251794884</v>
      </c>
      <c r="K29" s="10">
        <f t="shared" si="18"/>
        <v>9.10761523723938</v>
      </c>
      <c r="L29" s="10">
        <f t="shared" si="18"/>
        <v>4.36701182676762</v>
      </c>
      <c r="M29" s="10">
        <f t="shared" si="18"/>
        <v>6.02073615355579</v>
      </c>
      <c r="N29" s="10">
        <f t="shared" si="18"/>
        <v>2.2381552055199</v>
      </c>
      <c r="O29" s="11">
        <f t="shared" si="18"/>
        <v>9.43845201897416</v>
      </c>
      <c r="P29" s="11">
        <f t="shared" si="18"/>
        <v>5.37747471830842</v>
      </c>
      <c r="Q29" s="11">
        <f t="shared" si="18"/>
        <v>7.44034659902853</v>
      </c>
      <c r="R29" s="11">
        <f t="shared" si="18"/>
        <v>5.38387540365553</v>
      </c>
    </row>
    <row r="30" spans="1:18">
      <c r="B30" s="7">
        <f t="shared" si="14"/>
        <v>9.96922583149848</v>
      </c>
      <c r="C30" s="8">
        <f t="shared" ref="C30:R30" si="19">10^(C22)</f>
        <v>8.7988328094605</v>
      </c>
      <c r="D30" s="8">
        <f t="shared" si="19"/>
        <v>5.25731774509587</v>
      </c>
      <c r="E30" s="8">
        <f t="shared" si="19"/>
        <v>4.98333429095718</v>
      </c>
      <c r="F30" s="8">
        <f t="shared" si="19"/>
        <v>4.56891232871838</v>
      </c>
      <c r="G30" s="9">
        <f t="shared" si="19"/>
        <v>9.96922583149848</v>
      </c>
      <c r="H30" s="9">
        <f t="shared" si="19"/>
        <v>7.7750851530396</v>
      </c>
      <c r="I30" s="9">
        <f t="shared" si="19"/>
        <v>8.7988330589676</v>
      </c>
      <c r="J30" s="9">
        <f t="shared" si="19"/>
        <v>7.16248934861476</v>
      </c>
      <c r="K30" s="10">
        <f t="shared" si="19"/>
        <v>9.09678753878327</v>
      </c>
      <c r="L30" s="10">
        <f t="shared" si="19"/>
        <v>4.0325178264869</v>
      </c>
      <c r="M30" s="10">
        <f t="shared" si="19"/>
        <v>5.70018259297084</v>
      </c>
      <c r="N30" s="10">
        <f t="shared" si="19"/>
        <v>3.23221583040732</v>
      </c>
      <c r="O30" s="11">
        <f t="shared" si="19"/>
        <v>9.01064430803688</v>
      </c>
      <c r="P30" s="11">
        <f t="shared" si="19"/>
        <v>6.66124175328573</v>
      </c>
      <c r="Q30" s="11">
        <f t="shared" si="19"/>
        <v>4.56348052207316</v>
      </c>
      <c r="R30" s="11">
        <f t="shared" si="19"/>
        <v>4.83159053756827</v>
      </c>
    </row>
    <row r="31" spans="1:18">
      <c r="B31" s="7">
        <f t="shared" si="14"/>
        <v>14.1592448364584</v>
      </c>
      <c r="C31" s="8">
        <f t="shared" ref="C31:R31" si="20">10^(C23)</f>
        <v>10.0765132708077</v>
      </c>
      <c r="D31" s="8">
        <f t="shared" si="20"/>
        <v>5.9992903241084</v>
      </c>
      <c r="E31" s="8">
        <f t="shared" si="20"/>
        <v>5.28867501971341</v>
      </c>
      <c r="F31" s="8">
        <f t="shared" si="20"/>
        <v>5.43534628566527</v>
      </c>
      <c r="G31" s="9">
        <f t="shared" si="20"/>
        <v>14.1592448364584</v>
      </c>
      <c r="H31" s="9">
        <f t="shared" si="20"/>
        <v>12.6164140756957</v>
      </c>
      <c r="I31" s="9">
        <f t="shared" si="20"/>
        <v>10.5423820326764</v>
      </c>
      <c r="J31" s="9">
        <f t="shared" si="20"/>
        <v>8.89352438760628</v>
      </c>
      <c r="K31" s="10">
        <f t="shared" si="20"/>
        <v>11.8175219955881</v>
      </c>
      <c r="L31" s="10">
        <f t="shared" si="20"/>
        <v>5.64620380114105</v>
      </c>
      <c r="M31" s="10">
        <f t="shared" si="20"/>
        <v>7.51148040281959</v>
      </c>
      <c r="N31" s="10">
        <f t="shared" si="20"/>
        <v>2.72344681360826</v>
      </c>
      <c r="O31" s="11">
        <f t="shared" si="20"/>
        <v>15.4435557637937</v>
      </c>
      <c r="P31" s="11">
        <f t="shared" si="20"/>
        <v>7.12849424636845</v>
      </c>
      <c r="Q31" s="11">
        <f t="shared" si="20"/>
        <v>7.01077948736482</v>
      </c>
      <c r="R31" s="11">
        <f t="shared" si="20"/>
        <v>9.98109197332977</v>
      </c>
    </row>
    <row r="32" spans="1:18">
      <c r="B32">
        <f>AVERAGE(B26:B31)</f>
        <v>12.8192165717944</v>
      </c>
      <c r="C32">
        <f t="shared" ref="C32:R32" si="21">AVERAGE(C26:C31)</f>
        <v>9.79976644354024</v>
      </c>
      <c r="D32">
        <f t="shared" si="21"/>
        <v>5.8829891605178</v>
      </c>
      <c r="E32">
        <f t="shared" si="21"/>
        <v>4.80734172498504</v>
      </c>
      <c r="F32">
        <f t="shared" si="21"/>
        <v>4.5747216975707</v>
      </c>
      <c r="G32">
        <f t="shared" si="21"/>
        <v>12.8192165717944</v>
      </c>
      <c r="H32">
        <f t="shared" si="21"/>
        <v>9.74716382036122</v>
      </c>
      <c r="I32">
        <f t="shared" si="21"/>
        <v>9.89657516891948</v>
      </c>
      <c r="J32">
        <f t="shared" si="21"/>
        <v>7.65792240272502</v>
      </c>
      <c r="K32">
        <f t="shared" si="21"/>
        <v>10.4712878229854</v>
      </c>
      <c r="L32">
        <f t="shared" si="21"/>
        <v>4.70437306540078</v>
      </c>
      <c r="M32">
        <f t="shared" si="21"/>
        <v>6.59240328150312</v>
      </c>
      <c r="N32">
        <f t="shared" si="21"/>
        <v>2.72490577375712</v>
      </c>
      <c r="O32">
        <f t="shared" si="21"/>
        <v>11.4765827649587</v>
      </c>
      <c r="P32">
        <f t="shared" si="21"/>
        <v>6.48895886268863</v>
      </c>
      <c r="Q32">
        <f t="shared" si="21"/>
        <v>6.49028684774043</v>
      </c>
      <c r="R32">
        <f t="shared" si="21"/>
        <v>6.82312988853145</v>
      </c>
    </row>
    <row r="33" spans="1:18">
      <c r="A33" s="12"/>
    </row>
    <row r="34" spans="1:18">
      <c r="A34" s="12" t="s">
        <v>18</v>
      </c>
      <c r="B34">
        <v>13.1370606543247</v>
      </c>
      <c r="C34" s="1">
        <v>9.80460144033107</v>
      </c>
      <c r="D34" s="1">
        <v>6.10728235237757</v>
      </c>
      <c r="E34" s="1">
        <v>3.79518379333651</v>
      </c>
      <c r="F34" s="1">
        <v>3.55909653129545</v>
      </c>
      <c r="G34" s="2">
        <v>13.1370606543247</v>
      </c>
      <c r="H34" s="2">
        <v>8.2613017118374</v>
      </c>
      <c r="I34" s="2">
        <v>9.7580664396758</v>
      </c>
      <c r="J34" s="2">
        <v>6.72492688644135</v>
      </c>
      <c r="K34" s="3">
        <v>9.58552240692265</v>
      </c>
      <c r="L34" s="3">
        <v>4.31537860194173</v>
      </c>
      <c r="M34" s="3">
        <v>6.21721611984552</v>
      </c>
      <c r="N34" s="3">
        <v>2.24882875205373</v>
      </c>
      <c r="O34" s="4">
        <v>10.0765134136768</v>
      </c>
      <c r="P34" s="4">
        <v>5.52004025483196</v>
      </c>
      <c r="Q34" s="4">
        <v>7.7750851530396</v>
      </c>
      <c r="R34" s="4">
        <v>5.44181585421734</v>
      </c>
    </row>
    <row r="35" spans="1:18">
      <c r="A35" s="12"/>
      <c r="B35">
        <v>12.0588940027692</v>
      </c>
      <c r="C35" s="1">
        <v>10.0048632413207</v>
      </c>
      <c r="D35" s="1">
        <v>5.78212093463366</v>
      </c>
      <c r="E35" s="1">
        <v>5.28238938689132</v>
      </c>
      <c r="F35" s="1">
        <v>4.69562235585718</v>
      </c>
      <c r="G35" s="2">
        <v>12.0588940027692</v>
      </c>
      <c r="H35" s="2">
        <v>7.93389068859044</v>
      </c>
      <c r="I35" s="2">
        <v>8.85131370364638</v>
      </c>
      <c r="J35" s="2">
        <v>7.49363344715793</v>
      </c>
      <c r="K35" s="3">
        <v>10.0048630994676</v>
      </c>
      <c r="L35" s="3">
        <v>4.02772514659801</v>
      </c>
      <c r="M35" s="3">
        <v>6.08553040292009</v>
      </c>
      <c r="N35" s="3">
        <v>3.1078106573157</v>
      </c>
      <c r="O35" s="4">
        <v>9.48346308727876</v>
      </c>
      <c r="P35" s="4">
        <v>6.79729952967359</v>
      </c>
      <c r="Q35" s="4">
        <v>4.89521647576983</v>
      </c>
      <c r="R35" s="4">
        <v>5.11545052842597</v>
      </c>
    </row>
    <row r="36" spans="1:18">
      <c r="A36" s="12"/>
      <c r="B36">
        <v>15.7028664936059</v>
      </c>
      <c r="C36" s="1">
        <v>11.1352395846252</v>
      </c>
      <c r="D36" s="1">
        <v>6.39724413467635</v>
      </c>
      <c r="E36" s="1">
        <v>5.77524883737063</v>
      </c>
      <c r="F36" s="1">
        <v>5.56618956597042</v>
      </c>
      <c r="G36" s="2">
        <v>15.7028664936059</v>
      </c>
      <c r="H36" s="2">
        <v>13.8099735672427</v>
      </c>
      <c r="I36" s="2">
        <v>12.1019988632635</v>
      </c>
      <c r="J36" s="2">
        <v>9.18375782858096</v>
      </c>
      <c r="K36" s="3">
        <v>13.2154166599112</v>
      </c>
      <c r="L36" s="3">
        <v>5.83740118946939</v>
      </c>
      <c r="M36" s="3">
        <v>8.01927401690688</v>
      </c>
      <c r="N36" s="3">
        <v>2.79897738363781</v>
      </c>
      <c r="O36" s="4">
        <v>15.406867997992</v>
      </c>
      <c r="P36" s="4">
        <v>7.44920267366364</v>
      </c>
      <c r="Q36" s="4">
        <v>7.25681284916667</v>
      </c>
      <c r="R36" s="4">
        <v>10.1849550339918</v>
      </c>
    </row>
    <row r="37" spans="1:18">
      <c r="A37" s="12"/>
      <c r="B37">
        <v>11.88800761211</v>
      </c>
      <c r="C37" s="1">
        <v>8.97854831469616</v>
      </c>
      <c r="D37" s="1">
        <v>5.75467947221496</v>
      </c>
      <c r="E37" s="1">
        <v>3.71921902164116</v>
      </c>
      <c r="F37" s="1">
        <v>3.62316311791751</v>
      </c>
      <c r="G37" s="2">
        <v>11.88800761211</v>
      </c>
      <c r="H37" s="2">
        <v>8.0863177257615</v>
      </c>
      <c r="I37" s="2">
        <v>9.32685691528728</v>
      </c>
      <c r="J37" s="2">
        <v>6.48920251794884</v>
      </c>
      <c r="K37" s="3">
        <v>9.10761523723938</v>
      </c>
      <c r="L37" s="3">
        <v>4.36701182676762</v>
      </c>
      <c r="M37" s="3">
        <v>6.02073615355579</v>
      </c>
      <c r="N37" s="3">
        <v>2.2381552055199</v>
      </c>
      <c r="O37" s="4">
        <v>9.43845201897416</v>
      </c>
      <c r="P37" s="4">
        <v>5.37747471830842</v>
      </c>
      <c r="Q37" s="4">
        <v>7.44034659902853</v>
      </c>
      <c r="R37" s="4">
        <v>5.38387540365553</v>
      </c>
    </row>
    <row r="38" spans="1:18">
      <c r="A38" s="12"/>
      <c r="B38">
        <v>9.96922583149848</v>
      </c>
      <c r="C38" s="1">
        <v>8.7988328094605</v>
      </c>
      <c r="D38" s="1">
        <v>5.25731774509587</v>
      </c>
      <c r="E38" s="1">
        <v>4.98333429095718</v>
      </c>
      <c r="F38" s="1">
        <v>4.56891232871838</v>
      </c>
      <c r="G38" s="2">
        <v>9.96922583149848</v>
      </c>
      <c r="H38" s="2">
        <v>7.7750851530396</v>
      </c>
      <c r="I38" s="2">
        <v>8.7988330589676</v>
      </c>
      <c r="J38" s="2">
        <v>7.16248934861476</v>
      </c>
      <c r="K38" s="3">
        <v>9.09678753878327</v>
      </c>
      <c r="L38" s="3">
        <v>4.0325178264869</v>
      </c>
      <c r="M38" s="3">
        <v>5.70018259297084</v>
      </c>
      <c r="N38" s="3">
        <v>3.23221583040732</v>
      </c>
      <c r="O38" s="4">
        <v>9.01064430803688</v>
      </c>
      <c r="P38" s="4">
        <v>6.66124175328573</v>
      </c>
      <c r="Q38" s="4">
        <v>4.56348052207316</v>
      </c>
      <c r="R38" s="4">
        <v>4.83159053756827</v>
      </c>
    </row>
    <row r="39" spans="1:18">
      <c r="A39" s="12"/>
      <c r="B39">
        <v>14.1592448364584</v>
      </c>
      <c r="C39" s="1">
        <v>10.0765132708077</v>
      </c>
      <c r="D39" s="1">
        <v>5.9992903241084</v>
      </c>
      <c r="E39" s="1">
        <v>5.28867501971341</v>
      </c>
      <c r="F39" s="1">
        <v>5.43534628566527</v>
      </c>
      <c r="G39" s="2">
        <v>14.1592448364584</v>
      </c>
      <c r="H39" s="2">
        <v>12.6164140756957</v>
      </c>
      <c r="I39" s="2">
        <v>10.5423820326764</v>
      </c>
      <c r="J39" s="2">
        <v>8.89352438760628</v>
      </c>
      <c r="K39" s="3">
        <v>11.8175219955881</v>
      </c>
      <c r="L39" s="3">
        <v>5.64620380114105</v>
      </c>
      <c r="M39" s="3">
        <v>7.51148040281959</v>
      </c>
      <c r="N39" s="3">
        <v>2.72344681360826</v>
      </c>
      <c r="O39" s="4">
        <v>15.4435557637937</v>
      </c>
      <c r="P39" s="4">
        <v>7.12849424636845</v>
      </c>
      <c r="Q39" s="4">
        <v>7.01077948736482</v>
      </c>
      <c r="R39" s="4">
        <v>9.98109197332977</v>
      </c>
    </row>
    <row r="40" spans="1:18">
      <c r="A40" s="12"/>
      <c r="B40">
        <v>12.8192165717944</v>
      </c>
      <c r="C40">
        <v>9.79976644354024</v>
      </c>
      <c r="D40">
        <v>5.8829891605178</v>
      </c>
      <c r="E40">
        <v>4.80734172498504</v>
      </c>
      <c r="F40">
        <v>4.5747216975707</v>
      </c>
      <c r="G40">
        <v>12.8192165717944</v>
      </c>
      <c r="H40">
        <v>9.74716382036122</v>
      </c>
      <c r="I40">
        <v>9.89657516891948</v>
      </c>
      <c r="J40">
        <v>7.65792240272502</v>
      </c>
      <c r="K40">
        <v>10.4712878229854</v>
      </c>
      <c r="L40">
        <v>4.70437306540078</v>
      </c>
      <c r="M40">
        <v>6.59240328150312</v>
      </c>
      <c r="N40">
        <v>2.72490577375712</v>
      </c>
      <c r="O40">
        <v>11.4765827649587</v>
      </c>
      <c r="P40">
        <v>6.48895886268863</v>
      </c>
      <c r="Q40">
        <v>6.49028684774043</v>
      </c>
      <c r="R40">
        <v>6.82312988853145</v>
      </c>
    </row>
    <row r="41" spans="1:18">
      <c r="A41" s="12"/>
    </row>
    <row r="42" spans="1:18">
      <c r="A42" s="5" t="s">
        <v>19</v>
      </c>
      <c r="B42" s="5"/>
      <c r="C42" s="5"/>
      <c r="D42" s="5"/>
      <c r="E42" s="5"/>
      <c r="F42" s="5"/>
      <c r="G42" s="5"/>
    </row>
    <row r="43" spans="1:18">
      <c r="B43" s="7" t="s">
        <v>15</v>
      </c>
      <c r="C43">
        <v>13.1370606543247</v>
      </c>
      <c r="D43" s="7"/>
      <c r="E43" s="7"/>
      <c r="F43" s="7"/>
      <c r="G43" s="7"/>
    </row>
    <row r="44" spans="1:18">
      <c r="B44" s="7"/>
      <c r="C44" s="7"/>
      <c r="D44" s="7"/>
      <c r="E44" s="7" t="s">
        <v>20</v>
      </c>
      <c r="F44" s="7" t="s">
        <v>21</v>
      </c>
      <c r="G44" s="7"/>
    </row>
    <row r="45" spans="1:18">
      <c r="B45" s="13" t="s">
        <v>22</v>
      </c>
      <c r="C45" s="7" t="s">
        <v>23</v>
      </c>
      <c r="D45" s="7" t="s">
        <v>24</v>
      </c>
      <c r="E45" s="1">
        <v>10.0048632413207</v>
      </c>
      <c r="F45" s="1">
        <v>4.98333429095718</v>
      </c>
      <c r="G45" s="14"/>
    </row>
    <row r="46" spans="1:18">
      <c r="B46" s="13"/>
      <c r="C46" s="7"/>
      <c r="D46" s="7" t="s">
        <v>25</v>
      </c>
      <c r="E46" s="1">
        <v>6.39724413467635</v>
      </c>
      <c r="F46" s="1">
        <v>4.56891232871838</v>
      </c>
      <c r="G46" s="15"/>
    </row>
    <row r="47" spans="1:18">
      <c r="B47" s="13"/>
      <c r="C47" s="7" t="s">
        <v>26</v>
      </c>
      <c r="D47" s="7" t="s">
        <v>24</v>
      </c>
      <c r="E47" s="2">
        <v>11.88800761211</v>
      </c>
      <c r="F47" s="2">
        <v>9.7580664396758</v>
      </c>
      <c r="G47" s="14"/>
    </row>
    <row r="48" spans="1:18">
      <c r="B48" s="13"/>
      <c r="C48" s="7"/>
      <c r="D48" s="7" t="s">
        <v>25</v>
      </c>
      <c r="E48" s="2">
        <v>8.2613017118374</v>
      </c>
      <c r="F48" s="2">
        <v>7.49363344715793</v>
      </c>
      <c r="G48" s="14"/>
    </row>
    <row r="49" spans="1:7">
      <c r="B49" s="13" t="s">
        <v>27</v>
      </c>
      <c r="C49" s="7" t="s">
        <v>23</v>
      </c>
      <c r="D49" s="7" t="s">
        <v>24</v>
      </c>
      <c r="E49" s="3">
        <v>9.58552240692265</v>
      </c>
      <c r="F49" s="3">
        <v>6.21721611984552</v>
      </c>
      <c r="G49" s="14"/>
    </row>
    <row r="50" spans="1:7">
      <c r="B50" s="13"/>
      <c r="C50" s="7"/>
      <c r="D50" s="7" t="s">
        <v>25</v>
      </c>
      <c r="E50" s="3">
        <v>4.36701182676762</v>
      </c>
      <c r="F50" s="3">
        <v>2.79897738363781</v>
      </c>
      <c r="G50" s="14"/>
    </row>
    <row r="51" spans="1:7">
      <c r="B51" s="13"/>
      <c r="C51" s="7" t="s">
        <v>26</v>
      </c>
      <c r="D51" s="7" t="s">
        <v>24</v>
      </c>
      <c r="E51" s="4">
        <v>10.0765134136768</v>
      </c>
      <c r="F51" s="4">
        <v>7.01077948736482</v>
      </c>
      <c r="G51" s="14"/>
    </row>
    <row r="52" spans="1:7">
      <c r="B52" s="13"/>
      <c r="C52" s="7"/>
      <c r="D52" s="7" t="s">
        <v>25</v>
      </c>
      <c r="E52" s="4">
        <v>5.52004025483196</v>
      </c>
      <c r="F52" s="4">
        <v>5.44181585421734</v>
      </c>
      <c r="G52" s="14"/>
    </row>
    <row r="54" spans="1:7">
      <c r="A54" s="5" t="s">
        <v>28</v>
      </c>
    </row>
    <row r="55" spans="1:7">
      <c r="B55" t="s">
        <v>29</v>
      </c>
      <c r="C55" s="16" t="s">
        <v>20</v>
      </c>
      <c r="D55" s="16" t="s">
        <v>21</v>
      </c>
    </row>
    <row r="56" spans="1:7">
      <c r="B56" s="7" t="s">
        <v>15</v>
      </c>
      <c r="C56">
        <v>13.1370606543247</v>
      </c>
      <c r="D56" s="16"/>
    </row>
    <row r="57" spans="1:7">
      <c r="B57" t="s">
        <v>30</v>
      </c>
      <c r="C57">
        <v>10.0048632413207</v>
      </c>
      <c r="D57">
        <v>4.98333429095718</v>
      </c>
    </row>
    <row r="58" spans="1:7">
      <c r="B58" t="s">
        <v>31</v>
      </c>
      <c r="C58">
        <v>6.39724413467635</v>
      </c>
      <c r="D58">
        <v>4.56891232871838</v>
      </c>
    </row>
    <row r="59" spans="1:7">
      <c r="B59" t="s">
        <v>32</v>
      </c>
      <c r="C59">
        <v>11.88800761211</v>
      </c>
      <c r="D59">
        <v>9.7580664396758</v>
      </c>
    </row>
    <row r="60" spans="1:7">
      <c r="B60" t="s">
        <v>33</v>
      </c>
      <c r="C60">
        <v>8.2613017118374</v>
      </c>
      <c r="D60">
        <v>7.49363344715793</v>
      </c>
    </row>
    <row r="61" spans="1:7">
      <c r="B61" t="s">
        <v>34</v>
      </c>
      <c r="C61">
        <v>9.58552240692265</v>
      </c>
      <c r="D61">
        <v>6.21721611984552</v>
      </c>
    </row>
    <row r="62" spans="1:7">
      <c r="B62" t="s">
        <v>35</v>
      </c>
      <c r="C62">
        <v>4.36701182676762</v>
      </c>
      <c r="D62">
        <v>2.79897738363781</v>
      </c>
    </row>
    <row r="63" spans="1:7">
      <c r="B63" t="s">
        <v>36</v>
      </c>
      <c r="C63">
        <v>10.0765134136768</v>
      </c>
      <c r="D63">
        <v>7.01077948736482</v>
      </c>
    </row>
    <row r="64" spans="1:7">
      <c r="B64" t="s">
        <v>37</v>
      </c>
      <c r="C64">
        <v>5.52004025483196</v>
      </c>
      <c r="D64">
        <v>5.44181585421734</v>
      </c>
    </row>
  </sheetData>
  <mergeCells count="2">
    <mergeCell ref="B45:B48"/>
    <mergeCell ref="B49:B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topLeftCell="A22" workbookViewId="0">
      <selection activeCell="M34" sqref="M34"/>
    </sheetView>
  </sheetViews>
  <sheetFormatPr defaultColWidth="9" defaultRowHeight="13.5"/>
  <cols>
    <col min="2" max="18" width="12.625"/>
  </cols>
  <sheetData>
    <row r="1" spans="1:18">
      <c r="A1" t="s">
        <v>38</v>
      </c>
    </row>
    <row r="2" spans="1:18">
      <c r="B2">
        <v>13.1370606543247</v>
      </c>
      <c r="C2" s="1">
        <v>9.80460144033107</v>
      </c>
      <c r="D2" s="1">
        <v>6.10728235237757</v>
      </c>
      <c r="E2" s="1">
        <v>3.79518379333651</v>
      </c>
      <c r="F2" s="1">
        <v>3.55909653129545</v>
      </c>
      <c r="G2" s="2">
        <v>13.1370606543247</v>
      </c>
      <c r="H2" s="2">
        <v>8.2613017118374</v>
      </c>
      <c r="I2" s="2">
        <v>9.7580664396758</v>
      </c>
      <c r="J2" s="2">
        <v>6.72492688644135</v>
      </c>
      <c r="K2" s="3">
        <v>9.58552240692265</v>
      </c>
      <c r="L2" s="3">
        <v>4.31537860194173</v>
      </c>
      <c r="M2" s="3">
        <v>6.21721611984552</v>
      </c>
      <c r="N2" s="3">
        <v>2.24882875205373</v>
      </c>
      <c r="O2" s="4">
        <v>10.0765134136768</v>
      </c>
      <c r="P2" s="4">
        <v>5.52004025483196</v>
      </c>
      <c r="Q2" s="4">
        <v>7.7750851530396</v>
      </c>
      <c r="R2" s="4">
        <v>5.44181585421734</v>
      </c>
    </row>
    <row r="3" spans="1:18">
      <c r="B3">
        <v>12.0588940027692</v>
      </c>
      <c r="C3" s="1">
        <v>10.0048632413207</v>
      </c>
      <c r="D3" s="1">
        <v>5.78212093463366</v>
      </c>
      <c r="E3" s="1">
        <v>5.28238938689132</v>
      </c>
      <c r="F3" s="1">
        <v>4.69562235585718</v>
      </c>
      <c r="G3" s="2">
        <v>12.0588940027692</v>
      </c>
      <c r="H3" s="2">
        <v>7.93389068859044</v>
      </c>
      <c r="I3" s="2">
        <v>8.85131370364638</v>
      </c>
      <c r="J3" s="2">
        <v>7.49363344715793</v>
      </c>
      <c r="K3" s="3">
        <v>10.0048630994676</v>
      </c>
      <c r="L3" s="3">
        <v>4.02772514659801</v>
      </c>
      <c r="M3" s="3">
        <v>6.08553040292009</v>
      </c>
      <c r="N3" s="3">
        <v>3.1078106573157</v>
      </c>
      <c r="O3" s="4">
        <v>9.48346308727876</v>
      </c>
      <c r="P3" s="4">
        <v>6.79729952967359</v>
      </c>
      <c r="Q3" s="4">
        <v>4.89521647576983</v>
      </c>
      <c r="R3" s="4">
        <v>5.11545052842597</v>
      </c>
    </row>
    <row r="4" spans="1:18">
      <c r="B4">
        <v>15.7028664936059</v>
      </c>
      <c r="C4" s="1">
        <v>11.1352395846252</v>
      </c>
      <c r="D4" s="1">
        <v>6.39724413467635</v>
      </c>
      <c r="E4" s="1">
        <v>5.77524883737063</v>
      </c>
      <c r="F4" s="1">
        <v>5.56618956597042</v>
      </c>
      <c r="G4" s="2">
        <v>15.7028664936059</v>
      </c>
      <c r="H4" s="2">
        <v>13.8099735672427</v>
      </c>
      <c r="I4" s="2">
        <v>12.1019988632635</v>
      </c>
      <c r="J4" s="2">
        <v>9.18375782858096</v>
      </c>
      <c r="K4" s="3">
        <v>13.2154166599112</v>
      </c>
      <c r="L4" s="3">
        <v>5.83740118946939</v>
      </c>
      <c r="M4" s="3">
        <v>8.01927401690688</v>
      </c>
      <c r="N4" s="3">
        <v>2.79897738363781</v>
      </c>
      <c r="O4" s="4">
        <v>15.406867997992</v>
      </c>
      <c r="P4" s="4">
        <v>7.44920267366364</v>
      </c>
      <c r="Q4" s="4">
        <v>7.25681284916667</v>
      </c>
      <c r="R4" s="4">
        <v>10.1849550339918</v>
      </c>
    </row>
    <row r="5" spans="1:18">
      <c r="B5">
        <v>11.88800761211</v>
      </c>
      <c r="C5" s="1">
        <v>8.97854831469616</v>
      </c>
      <c r="D5" s="1">
        <v>5.75467947221496</v>
      </c>
      <c r="E5" s="1">
        <v>3.71921902164116</v>
      </c>
      <c r="F5" s="1">
        <v>3.62316311791751</v>
      </c>
      <c r="G5" s="2">
        <v>11.88800761211</v>
      </c>
      <c r="H5" s="2">
        <v>8.0863177257615</v>
      </c>
      <c r="I5" s="2">
        <v>9.32685691528728</v>
      </c>
      <c r="J5" s="2">
        <v>6.48920251794884</v>
      </c>
      <c r="K5" s="3">
        <v>9.10761523723938</v>
      </c>
      <c r="L5" s="3">
        <v>4.36701182676762</v>
      </c>
      <c r="M5" s="3">
        <v>6.02073615355579</v>
      </c>
      <c r="N5" s="3">
        <v>2.2381552055199</v>
      </c>
      <c r="O5" s="4">
        <v>9.43845201897416</v>
      </c>
      <c r="P5" s="4">
        <v>5.37747471830842</v>
      </c>
      <c r="Q5" s="4">
        <v>7.44034659902853</v>
      </c>
      <c r="R5" s="4">
        <v>5.38387540365553</v>
      </c>
    </row>
    <row r="6" spans="1:18">
      <c r="B6">
        <v>9.96922583149848</v>
      </c>
      <c r="C6" s="1">
        <v>8.7988328094605</v>
      </c>
      <c r="D6" s="1">
        <v>5.25731774509587</v>
      </c>
      <c r="E6" s="1">
        <v>4.98333429095718</v>
      </c>
      <c r="F6" s="1">
        <v>4.56891232871838</v>
      </c>
      <c r="G6" s="2">
        <v>9.96922583149848</v>
      </c>
      <c r="H6" s="2">
        <v>7.7750851530396</v>
      </c>
      <c r="I6" s="2">
        <v>8.7988330589676</v>
      </c>
      <c r="J6" s="2">
        <v>7.16248934861476</v>
      </c>
      <c r="K6" s="3">
        <v>9.09678753878327</v>
      </c>
      <c r="L6" s="3">
        <v>4.0325178264869</v>
      </c>
      <c r="M6" s="3">
        <v>5.70018259297084</v>
      </c>
      <c r="N6" s="3">
        <v>3.23221583040732</v>
      </c>
      <c r="O6" s="4">
        <v>9.01064430803688</v>
      </c>
      <c r="P6" s="4">
        <v>6.66124175328573</v>
      </c>
      <c r="Q6" s="4">
        <v>4.56348052207316</v>
      </c>
      <c r="R6" s="4">
        <v>4.83159053756827</v>
      </c>
    </row>
    <row r="7" spans="1:18">
      <c r="B7">
        <v>14.1592448364584</v>
      </c>
      <c r="C7" s="1">
        <v>10.0765132708077</v>
      </c>
      <c r="D7" s="1">
        <v>5.9992903241084</v>
      </c>
      <c r="E7" s="1">
        <v>5.28867501971341</v>
      </c>
      <c r="F7" s="1">
        <v>5.43534628566527</v>
      </c>
      <c r="G7" s="2">
        <v>14.1592448364584</v>
      </c>
      <c r="H7" s="2">
        <v>12.6164140756957</v>
      </c>
      <c r="I7" s="2">
        <v>10.5423820326764</v>
      </c>
      <c r="J7" s="2">
        <v>8.89352438760628</v>
      </c>
      <c r="K7" s="3">
        <v>11.8175219955881</v>
      </c>
      <c r="L7" s="3">
        <v>5.64620380114105</v>
      </c>
      <c r="M7" s="3">
        <v>7.51148040281959</v>
      </c>
      <c r="N7" s="3">
        <v>2.72344681360826</v>
      </c>
      <c r="O7" s="4">
        <v>15.4435557637937</v>
      </c>
      <c r="P7" s="4">
        <v>7.12849424636845</v>
      </c>
      <c r="Q7" s="4">
        <v>7.01077948736482</v>
      </c>
      <c r="R7" s="4">
        <v>9.98109197332977</v>
      </c>
    </row>
    <row r="8" spans="1:18">
      <c r="B8">
        <v>12.8192165717944</v>
      </c>
      <c r="C8">
        <v>9.79976644354024</v>
      </c>
      <c r="D8">
        <v>5.8829891605178</v>
      </c>
      <c r="E8">
        <v>4.80734172498504</v>
      </c>
      <c r="F8">
        <v>4.5747216975707</v>
      </c>
      <c r="G8">
        <v>12.8192165717944</v>
      </c>
      <c r="H8">
        <v>9.74716382036122</v>
      </c>
      <c r="I8">
        <v>9.89657516891948</v>
      </c>
      <c r="J8">
        <v>7.65792240272502</v>
      </c>
      <c r="K8">
        <v>10.4712878229854</v>
      </c>
      <c r="L8">
        <v>4.70437306540078</v>
      </c>
      <c r="M8">
        <v>6.59240328150312</v>
      </c>
      <c r="N8">
        <v>2.72490577375712</v>
      </c>
      <c r="O8">
        <v>11.4765827649587</v>
      </c>
      <c r="P8">
        <v>6.48895886268863</v>
      </c>
      <c r="Q8">
        <v>6.49028684774043</v>
      </c>
      <c r="R8">
        <v>6.82312988853145</v>
      </c>
    </row>
    <row r="10" spans="1:18">
      <c r="A10" t="s">
        <v>39</v>
      </c>
      <c r="B10">
        <v>13.1370606543247</v>
      </c>
      <c r="C10" s="1">
        <v>9.80460144033107</v>
      </c>
      <c r="D10" s="1">
        <v>6.10728235237757</v>
      </c>
      <c r="E10" s="1"/>
      <c r="F10" s="1"/>
      <c r="G10" s="2">
        <v>13.1370606543247</v>
      </c>
      <c r="H10" s="2">
        <v>8.2613017118374</v>
      </c>
      <c r="I10" s="2">
        <v>9.7580664396758</v>
      </c>
      <c r="J10" s="2">
        <v>6.72492688644135</v>
      </c>
      <c r="K10" s="3">
        <v>9.58552240692265</v>
      </c>
      <c r="L10" s="3">
        <v>4.31537860194173</v>
      </c>
      <c r="M10" s="3">
        <v>6.21721611984552</v>
      </c>
      <c r="N10" s="3"/>
      <c r="O10" s="4">
        <v>10.0765134136768</v>
      </c>
      <c r="P10" s="4">
        <v>5.52004025483196</v>
      </c>
      <c r="Q10" s="4"/>
      <c r="R10" s="4"/>
    </row>
    <row r="11" spans="1:18">
      <c r="B11">
        <v>12.0588940027692</v>
      </c>
      <c r="C11" s="1"/>
      <c r="D11" s="1"/>
      <c r="E11" s="1">
        <v>5.28238938689132</v>
      </c>
      <c r="F11" s="1">
        <v>4.69562235585718</v>
      </c>
      <c r="G11" s="2">
        <v>12.0588940027692</v>
      </c>
      <c r="H11" s="2">
        <v>7.93389068859044</v>
      </c>
      <c r="I11" s="2">
        <v>8.85131370364638</v>
      </c>
      <c r="J11" s="2">
        <v>7.49363344715793</v>
      </c>
      <c r="K11" s="3">
        <v>10.0048630994676</v>
      </c>
      <c r="L11" s="3"/>
      <c r="M11" s="3">
        <v>6.08553040292009</v>
      </c>
      <c r="N11" s="3">
        <v>3.1078106573157</v>
      </c>
      <c r="O11" s="4">
        <v>9.48346308727876</v>
      </c>
      <c r="P11" s="4">
        <v>6.79729952967359</v>
      </c>
      <c r="Q11" s="4"/>
      <c r="R11" s="4">
        <v>5.11545052842597</v>
      </c>
    </row>
    <row r="12" spans="1:18">
      <c r="C12" s="1"/>
      <c r="D12" s="1">
        <v>6.39724413467635</v>
      </c>
      <c r="E12" s="1"/>
      <c r="F12" s="1"/>
      <c r="G12" s="2"/>
      <c r="H12" s="2"/>
      <c r="I12" s="2"/>
      <c r="J12" s="2"/>
      <c r="K12" s="3"/>
      <c r="L12" s="3"/>
      <c r="M12" s="3"/>
      <c r="N12" s="3">
        <v>2.79897738363781</v>
      </c>
      <c r="O12" s="4"/>
      <c r="P12" s="4"/>
      <c r="Q12" s="4">
        <v>7.25681284916667</v>
      </c>
      <c r="R12" s="4"/>
    </row>
    <row r="13" spans="1:18">
      <c r="C13" s="1">
        <v>8.97854831469616</v>
      </c>
      <c r="D13" s="1"/>
      <c r="E13" s="1"/>
      <c r="F13" s="1">
        <v>3.62316311791751</v>
      </c>
      <c r="G13" s="2">
        <v>11.88800761211</v>
      </c>
      <c r="H13" s="2">
        <v>8.0863177257615</v>
      </c>
      <c r="I13" s="2">
        <v>9.32685691528728</v>
      </c>
      <c r="J13" s="2"/>
      <c r="K13" s="3">
        <v>9.10761523723938</v>
      </c>
      <c r="L13" s="3">
        <v>4.36701182676762</v>
      </c>
      <c r="M13" s="3">
        <v>6.02073615355579</v>
      </c>
      <c r="N13" s="3"/>
      <c r="O13" s="4">
        <v>9.43845201897416</v>
      </c>
      <c r="P13" s="4">
        <v>5.37747471830842</v>
      </c>
      <c r="Q13" s="4">
        <v>7.44034659902853</v>
      </c>
      <c r="R13" s="4">
        <v>5.38387540365553</v>
      </c>
    </row>
    <row r="14" spans="1:18">
      <c r="C14" s="1">
        <v>8.7988328094605</v>
      </c>
      <c r="D14" s="1"/>
      <c r="E14" s="1">
        <v>4.98333429095718</v>
      </c>
      <c r="F14" s="1">
        <v>3.62316311791751</v>
      </c>
      <c r="G14" s="2"/>
      <c r="H14" s="2"/>
      <c r="I14" s="2"/>
      <c r="J14" s="2">
        <v>7.16248934861476</v>
      </c>
      <c r="K14" s="3"/>
      <c r="L14" s="3">
        <v>4.0325178264869</v>
      </c>
      <c r="M14" s="3"/>
      <c r="N14" s="3"/>
      <c r="O14" s="4"/>
      <c r="P14" s="4"/>
      <c r="Q14" s="4"/>
      <c r="R14" s="4">
        <v>4.83159053756827</v>
      </c>
    </row>
    <row r="15" spans="1:18">
      <c r="B15">
        <v>14.1592448364584</v>
      </c>
      <c r="C15" s="1"/>
      <c r="D15" s="1">
        <v>5.9992903241084</v>
      </c>
      <c r="E15" s="1">
        <v>5.28867501971341</v>
      </c>
      <c r="F15" s="1"/>
      <c r="G15" s="2"/>
      <c r="H15" s="2"/>
      <c r="I15" s="2"/>
      <c r="J15" s="2"/>
      <c r="K15" s="3"/>
      <c r="L15" s="3"/>
      <c r="M15" s="3"/>
      <c r="N15" s="3">
        <v>2.72344681360826</v>
      </c>
      <c r="O15" s="4"/>
      <c r="P15" s="4"/>
      <c r="Q15" s="4">
        <v>7.01077948736482</v>
      </c>
      <c r="R15" s="4"/>
    </row>
    <row r="17" spans="1:18">
      <c r="A17" t="s">
        <v>40</v>
      </c>
      <c r="B17">
        <v>13.1370606543247</v>
      </c>
      <c r="C17" s="1">
        <v>9.80460144033107</v>
      </c>
      <c r="D17" s="1">
        <v>6.10728235237757</v>
      </c>
      <c r="E17" s="1">
        <v>5.28238938689132</v>
      </c>
      <c r="F17" s="1">
        <v>3.62316311791751</v>
      </c>
      <c r="G17" s="2">
        <v>13.1370606543247</v>
      </c>
      <c r="H17" s="2">
        <v>8.2613017118374</v>
      </c>
      <c r="I17" s="2">
        <v>9.7580664396758</v>
      </c>
      <c r="J17" s="2">
        <v>6.72492688644135</v>
      </c>
      <c r="K17" s="3">
        <v>9.58552240692265</v>
      </c>
      <c r="L17" s="3">
        <v>4.31537860194173</v>
      </c>
      <c r="M17" s="3">
        <v>6.21721611984552</v>
      </c>
      <c r="N17" s="3">
        <v>2.79897738363781</v>
      </c>
      <c r="O17" s="4">
        <v>10.0765134136768</v>
      </c>
      <c r="P17" s="4">
        <v>5.52004025483196</v>
      </c>
      <c r="Q17" s="4">
        <v>7.25681284916667</v>
      </c>
      <c r="R17" s="4">
        <v>4.83159053756827</v>
      </c>
    </row>
    <row r="18" spans="1:18">
      <c r="B18">
        <v>12.0588940027692</v>
      </c>
      <c r="C18" s="1">
        <v>8.97854831469616</v>
      </c>
      <c r="D18" s="1">
        <v>6.39724413467635</v>
      </c>
      <c r="E18" s="1">
        <v>4.98333429095718</v>
      </c>
      <c r="F18" s="1">
        <v>4.69562235585718</v>
      </c>
      <c r="G18" s="2">
        <v>12.0588940027692</v>
      </c>
      <c r="H18" s="2">
        <v>7.93389068859044</v>
      </c>
      <c r="I18" s="2">
        <v>8.85131370364638</v>
      </c>
      <c r="J18" s="2">
        <v>7.49363344715793</v>
      </c>
      <c r="K18" s="3">
        <v>10.0048630994676</v>
      </c>
      <c r="L18" s="3">
        <v>4.0325178264869</v>
      </c>
      <c r="M18" s="3">
        <v>6.08553040292009</v>
      </c>
      <c r="N18" s="3">
        <v>3.1078106573157</v>
      </c>
      <c r="O18" s="4">
        <v>9.48346308727876</v>
      </c>
      <c r="P18" s="4">
        <v>6.79729952967359</v>
      </c>
      <c r="Q18" s="4">
        <v>7.01077948736482</v>
      </c>
      <c r="R18" s="4">
        <v>5.11545052842597</v>
      </c>
    </row>
    <row r="19" spans="1:18">
      <c r="B19">
        <v>14.1592448364584</v>
      </c>
      <c r="C19" s="1">
        <v>8.7988328094605</v>
      </c>
      <c r="D19" s="1">
        <v>5.9992903241084</v>
      </c>
      <c r="E19" s="1">
        <v>5.28867501971341</v>
      </c>
      <c r="F19" s="1">
        <v>3.62316311791751</v>
      </c>
      <c r="G19" s="2">
        <v>11.88800761211</v>
      </c>
      <c r="H19" s="2">
        <v>8.0863177257615</v>
      </c>
      <c r="I19" s="2">
        <v>9.32685691528728</v>
      </c>
      <c r="J19" s="2">
        <v>7.16248934861476</v>
      </c>
      <c r="K19" s="3">
        <v>9.10761523723938</v>
      </c>
      <c r="L19" s="3">
        <v>4.36701182676762</v>
      </c>
      <c r="M19" s="3">
        <v>6.02073615355579</v>
      </c>
      <c r="N19" s="3">
        <v>2.72344681360826</v>
      </c>
      <c r="O19" s="4">
        <v>9.43845201897416</v>
      </c>
      <c r="P19" s="4">
        <v>5.37747471830842</v>
      </c>
      <c r="Q19" s="4">
        <v>7.44034659902853</v>
      </c>
      <c r="R19" s="4">
        <v>5.38387540365553</v>
      </c>
    </row>
    <row r="20" spans="1:18">
      <c r="A20" t="s">
        <v>41</v>
      </c>
      <c r="B20">
        <f>AVERAGE(B17:B19)</f>
        <v>13.1183998311841</v>
      </c>
      <c r="C20">
        <f>AVERAGE(C17:C19)</f>
        <v>9.19399418816258</v>
      </c>
      <c r="D20">
        <f>AVERAGE(D17:D19)</f>
        <v>6.16793893705411</v>
      </c>
      <c r="E20">
        <f>AVERAGE(E17:E19)</f>
        <v>5.18479956585397</v>
      </c>
      <c r="F20">
        <f>AVERAGE(F17:F19)</f>
        <v>3.98064953056407</v>
      </c>
      <c r="G20">
        <f>AVERAGE(G17:G19)</f>
        <v>12.3613207564013</v>
      </c>
      <c r="H20">
        <f>AVERAGE(H17:H19)</f>
        <v>8.09383670872978</v>
      </c>
      <c r="I20">
        <f>AVERAGE(I17:I19)</f>
        <v>9.31207901953649</v>
      </c>
      <c r="J20">
        <f>AVERAGE(J17:J19)</f>
        <v>7.12701656073801</v>
      </c>
      <c r="K20">
        <f>AVERAGE(K17:K19)</f>
        <v>9.56600024787654</v>
      </c>
      <c r="L20">
        <f>AVERAGE(L17:L19)</f>
        <v>4.23830275173208</v>
      </c>
      <c r="M20">
        <f>AVERAGE(M17:M19)</f>
        <v>6.1078275587738</v>
      </c>
      <c r="N20">
        <f>AVERAGE(N17:N19)</f>
        <v>2.87674495152059</v>
      </c>
      <c r="O20">
        <f>AVERAGE(O17:O19)</f>
        <v>9.66614283997657</v>
      </c>
      <c r="P20">
        <f>AVERAGE(P17:P19)</f>
        <v>5.89827150093799</v>
      </c>
      <c r="Q20">
        <f>AVERAGE(Q17:Q19)</f>
        <v>7.23597964518667</v>
      </c>
      <c r="R20">
        <f>AVERAGE(R17:R19)</f>
        <v>5.11030548988326</v>
      </c>
    </row>
    <row r="21" spans="1:18">
      <c r="A21" s="5" t="s">
        <v>42</v>
      </c>
      <c r="B21">
        <f>STDEV(B17:B19)</f>
        <v>1.05029975525321</v>
      </c>
      <c r="C21">
        <f>STDEV(C17:C19)</f>
        <v>0.536381699917228</v>
      </c>
      <c r="D21">
        <f>STDEV(D17:D19)</f>
        <v>0.205794132046699</v>
      </c>
      <c r="E21">
        <f>STDEV(E17:E19)</f>
        <v>0.174502349660178</v>
      </c>
      <c r="F21">
        <f>STDEV(F17:F19)</f>
        <v>0.61918462971937</v>
      </c>
      <c r="G21">
        <f>STDEV(G17:G19)</f>
        <v>0.677222143429161</v>
      </c>
      <c r="H21">
        <f>STDEV(H17:H19)</f>
        <v>0.163834965329637</v>
      </c>
      <c r="I21">
        <f>STDEV(I17:I19)</f>
        <v>0.453556965249488</v>
      </c>
      <c r="J21">
        <f>STDEV(J17:J19)</f>
        <v>0.385579023200161</v>
      </c>
      <c r="K21">
        <f>STDEV(K17:K19)</f>
        <v>0.448942387827931</v>
      </c>
      <c r="L21">
        <f>STDEV(L17:L19)</f>
        <v>0.180075190046004</v>
      </c>
      <c r="M21">
        <f>STDEV(M17:M19)</f>
        <v>0.100119761574211</v>
      </c>
      <c r="N21">
        <f>STDEV(N17:N19)</f>
        <v>0.203641196834509</v>
      </c>
      <c r="O21">
        <f>STDEV(O17:O19)</f>
        <v>0.356103222235871</v>
      </c>
      <c r="P21">
        <f>STDEV(P17:P19)</f>
        <v>0.781837438595918</v>
      </c>
      <c r="Q21">
        <f>STDEV(Q17:Q19)</f>
        <v>0.215540002428388</v>
      </c>
      <c r="R21">
        <f>STDEV(R17:R19)</f>
        <v>0.276178378758114</v>
      </c>
    </row>
    <row r="22" spans="1:18">
      <c r="A22" s="5"/>
    </row>
    <row r="23" spans="1:18">
      <c r="A23" t="s">
        <v>43</v>
      </c>
      <c r="B23">
        <v>13.1183998311841</v>
      </c>
      <c r="C23">
        <v>9.19399418816258</v>
      </c>
      <c r="D23">
        <v>6.16793893705411</v>
      </c>
      <c r="E23">
        <v>5.18479956585397</v>
      </c>
      <c r="F23">
        <v>3.98064953056407</v>
      </c>
      <c r="G23">
        <v>12.3613207564013</v>
      </c>
      <c r="H23">
        <v>8.09383670872978</v>
      </c>
      <c r="I23">
        <v>9.31207901953649</v>
      </c>
      <c r="J23">
        <v>7.12701656073801</v>
      </c>
      <c r="K23">
        <v>9.56600024787654</v>
      </c>
      <c r="L23">
        <v>4.23830275173208</v>
      </c>
      <c r="M23">
        <v>6.1078275587738</v>
      </c>
      <c r="N23">
        <v>2.87674495152059</v>
      </c>
      <c r="O23">
        <v>9.66614283997657</v>
      </c>
      <c r="P23">
        <v>5.89827150093799</v>
      </c>
      <c r="Q23">
        <v>7.23597964518667</v>
      </c>
      <c r="R23">
        <v>5.11030548988326</v>
      </c>
    </row>
    <row r="24" spans="1:18">
      <c r="A24" s="5" t="s">
        <v>44</v>
      </c>
      <c r="B24">
        <v>1.05029975525321</v>
      </c>
      <c r="C24">
        <v>0.536381699917228</v>
      </c>
      <c r="D24">
        <v>0.205794132046699</v>
      </c>
      <c r="E24">
        <v>0.174502349660178</v>
      </c>
      <c r="F24">
        <v>0.61918462971937</v>
      </c>
      <c r="G24">
        <v>0.677222143429161</v>
      </c>
      <c r="H24">
        <v>0.163834965329637</v>
      </c>
      <c r="I24">
        <v>0.453556965249488</v>
      </c>
      <c r="J24">
        <v>0.385579023200161</v>
      </c>
      <c r="K24">
        <v>0.448942387827931</v>
      </c>
      <c r="L24">
        <v>0.180075190046004</v>
      </c>
      <c r="M24">
        <v>0.100119761574211</v>
      </c>
      <c r="N24">
        <v>0.203641196834509</v>
      </c>
      <c r="O24">
        <v>0.356103222235871</v>
      </c>
      <c r="P24">
        <v>0.781837438595918</v>
      </c>
      <c r="Q24">
        <v>0.215540002428388</v>
      </c>
      <c r="R24">
        <v>0.276178378758114</v>
      </c>
    </row>
    <row r="26" spans="1:18">
      <c r="A26" t="s">
        <v>45</v>
      </c>
      <c r="C26" t="s">
        <v>20</v>
      </c>
      <c r="D26" t="s">
        <v>46</v>
      </c>
      <c r="F26" t="s">
        <v>21</v>
      </c>
      <c r="G26" t="s">
        <v>46</v>
      </c>
    </row>
    <row r="27" spans="1:18">
      <c r="B27" t="s">
        <v>15</v>
      </c>
      <c r="C27">
        <v>13.1184</v>
      </c>
      <c r="D27">
        <v>1.0503</v>
      </c>
      <c r="E27" t="s">
        <v>47</v>
      </c>
    </row>
    <row r="28" spans="1:18">
      <c r="B28" t="s">
        <v>48</v>
      </c>
      <c r="C28">
        <v>9.19399</v>
      </c>
      <c r="D28">
        <v>0.53638</v>
      </c>
      <c r="E28" t="s">
        <v>49</v>
      </c>
      <c r="F28">
        <v>5.1848</v>
      </c>
      <c r="G28">
        <v>0.1745</v>
      </c>
      <c r="H28" t="s">
        <v>50</v>
      </c>
    </row>
    <row r="29" spans="1:18">
      <c r="B29" t="s">
        <v>51</v>
      </c>
      <c r="C29">
        <v>6.16794</v>
      </c>
      <c r="D29">
        <v>0.20579</v>
      </c>
      <c r="E29" t="s">
        <v>50</v>
      </c>
      <c r="F29">
        <v>3.98065</v>
      </c>
      <c r="G29">
        <v>0.61918</v>
      </c>
      <c r="H29" t="s">
        <v>52</v>
      </c>
    </row>
    <row r="30" spans="1:18">
      <c r="B30" t="s">
        <v>53</v>
      </c>
      <c r="C30">
        <v>12.36132</v>
      </c>
      <c r="D30">
        <v>0.67722</v>
      </c>
      <c r="E30" t="s">
        <v>47</v>
      </c>
      <c r="F30">
        <v>9.31208</v>
      </c>
      <c r="G30">
        <v>0.45356</v>
      </c>
      <c r="H30" t="s">
        <v>47</v>
      </c>
    </row>
    <row r="31" spans="1:18">
      <c r="B31" t="s">
        <v>54</v>
      </c>
      <c r="C31">
        <v>8.09384</v>
      </c>
      <c r="D31">
        <v>0.16383</v>
      </c>
      <c r="E31" t="s">
        <v>55</v>
      </c>
      <c r="F31">
        <v>7.12702</v>
      </c>
      <c r="G31">
        <v>0.38558</v>
      </c>
      <c r="H31" t="s">
        <v>49</v>
      </c>
    </row>
    <row r="32" spans="1:18">
      <c r="B32" t="s">
        <v>56</v>
      </c>
      <c r="C32">
        <v>9.566</v>
      </c>
      <c r="D32">
        <v>0.44894</v>
      </c>
      <c r="E32" t="s">
        <v>49</v>
      </c>
      <c r="F32">
        <v>6.10783</v>
      </c>
      <c r="G32">
        <v>0.10012</v>
      </c>
      <c r="H32" t="s">
        <v>55</v>
      </c>
    </row>
    <row r="33" spans="1:8">
      <c r="B33" t="s">
        <v>57</v>
      </c>
      <c r="C33">
        <v>4.2383</v>
      </c>
      <c r="D33">
        <v>0.18008</v>
      </c>
      <c r="E33" t="s">
        <v>58</v>
      </c>
      <c r="F33">
        <v>2.87674</v>
      </c>
      <c r="G33">
        <v>0.20364</v>
      </c>
      <c r="H33" t="s">
        <v>58</v>
      </c>
    </row>
    <row r="34" spans="1:8">
      <c r="B34" t="s">
        <v>59</v>
      </c>
      <c r="C34">
        <v>9.66614</v>
      </c>
      <c r="D34">
        <v>0.3561</v>
      </c>
      <c r="E34" t="s">
        <v>49</v>
      </c>
      <c r="F34">
        <v>7.23598</v>
      </c>
      <c r="G34">
        <v>0.21554</v>
      </c>
      <c r="H34" t="s">
        <v>49</v>
      </c>
    </row>
    <row r="35" spans="1:8">
      <c r="B35" t="s">
        <v>60</v>
      </c>
      <c r="C35">
        <v>5.89827</v>
      </c>
      <c r="D35">
        <v>0.78184</v>
      </c>
      <c r="E35" t="s">
        <v>50</v>
      </c>
      <c r="F35">
        <v>5.11031</v>
      </c>
      <c r="G35">
        <v>0.27618</v>
      </c>
      <c r="H35" t="s">
        <v>50</v>
      </c>
    </row>
    <row r="37" spans="1:8">
      <c r="A37" t="s">
        <v>61</v>
      </c>
      <c r="C37" t="s">
        <v>20</v>
      </c>
      <c r="E37" t="s">
        <v>21</v>
      </c>
    </row>
    <row r="38" spans="1:8">
      <c r="B38" t="s">
        <v>15</v>
      </c>
      <c r="C38" t="str">
        <f t="shared" ref="C38:C46" si="0">ROUND(C27,2)&amp;"±"&amp;ROUND(D27,2)</f>
        <v>13.12±1.05</v>
      </c>
      <c r="D38" t="s">
        <v>47</v>
      </c>
      <c r="E38" t="str">
        <f>ROUND(F27,2)&amp;"±"&amp;ROUND(G27,2)</f>
        <v>0±0</v>
      </c>
    </row>
    <row r="39" spans="1:8">
      <c r="B39" t="s">
        <v>62</v>
      </c>
      <c r="C39" t="str">
        <f t="shared" si="0"/>
        <v>9.19±0.54</v>
      </c>
      <c r="D39" t="s">
        <v>49</v>
      </c>
      <c r="E39" t="str">
        <f t="shared" ref="E39:E46" si="1">ROUND(F28,2)&amp;"±"&amp;ROUND(G28,2)</f>
        <v>5.18±0.17</v>
      </c>
      <c r="F39" t="s">
        <v>50</v>
      </c>
    </row>
    <row r="40" spans="1:8">
      <c r="B40" t="s">
        <v>63</v>
      </c>
      <c r="C40" t="str">
        <f t="shared" si="0"/>
        <v>6.17±0.21</v>
      </c>
      <c r="D40" t="s">
        <v>50</v>
      </c>
      <c r="E40" t="str">
        <f t="shared" si="1"/>
        <v>3.98±0.62</v>
      </c>
      <c r="F40" t="s">
        <v>52</v>
      </c>
    </row>
    <row r="41" spans="1:8">
      <c r="B41" t="s">
        <v>64</v>
      </c>
      <c r="C41" t="str">
        <f t="shared" si="0"/>
        <v>12.36±0.68</v>
      </c>
      <c r="D41" t="s">
        <v>47</v>
      </c>
      <c r="E41" t="str">
        <f t="shared" si="1"/>
        <v>9.31±0.45</v>
      </c>
      <c r="F41" t="s">
        <v>47</v>
      </c>
    </row>
    <row r="42" spans="1:8">
      <c r="B42" t="s">
        <v>65</v>
      </c>
      <c r="C42" t="str">
        <f t="shared" si="0"/>
        <v>8.09±0.16</v>
      </c>
      <c r="D42" t="s">
        <v>55</v>
      </c>
      <c r="E42" t="str">
        <f t="shared" si="1"/>
        <v>7.13±0.39</v>
      </c>
      <c r="F42" t="s">
        <v>49</v>
      </c>
    </row>
    <row r="43" spans="1:8">
      <c r="B43" t="s">
        <v>66</v>
      </c>
      <c r="C43" t="str">
        <f t="shared" si="0"/>
        <v>9.57±0.45</v>
      </c>
      <c r="D43" t="s">
        <v>49</v>
      </c>
      <c r="E43" t="str">
        <f t="shared" si="1"/>
        <v>6.11±0.1</v>
      </c>
      <c r="F43" t="s">
        <v>55</v>
      </c>
    </row>
    <row r="44" spans="1:8">
      <c r="B44" t="s">
        <v>67</v>
      </c>
      <c r="C44" t="str">
        <f t="shared" si="0"/>
        <v>4.24±0.18</v>
      </c>
      <c r="D44" t="s">
        <v>58</v>
      </c>
      <c r="E44" t="str">
        <f t="shared" si="1"/>
        <v>2.88±0.2</v>
      </c>
      <c r="F44" t="s">
        <v>58</v>
      </c>
    </row>
    <row r="45" spans="1:8">
      <c r="B45" t="s">
        <v>68</v>
      </c>
      <c r="C45" t="str">
        <f t="shared" si="0"/>
        <v>9.67±0.36</v>
      </c>
      <c r="D45" t="s">
        <v>49</v>
      </c>
      <c r="E45" t="str">
        <f t="shared" si="1"/>
        <v>7.24±0.22</v>
      </c>
      <c r="F45" t="s">
        <v>49</v>
      </c>
    </row>
    <row r="46" spans="1:8">
      <c r="B46" t="s">
        <v>69</v>
      </c>
      <c r="C46" t="str">
        <f t="shared" si="0"/>
        <v>5.9±0.78</v>
      </c>
      <c r="D46" t="s">
        <v>50</v>
      </c>
      <c r="E46" t="str">
        <f t="shared" si="1"/>
        <v>5.11±0.28</v>
      </c>
      <c r="F46" t="s">
        <v>50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OD</vt:lpstr>
      <vt:lpstr>标曲</vt:lpstr>
      <vt:lpstr>数据处理</vt:lpstr>
      <vt:lpstr>数据选择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28717</dc:creator>
  <cp:lastModifiedBy>pupil</cp:lastModifiedBy>
  <dcterms:created xsi:type="dcterms:W3CDTF">2025-12-12T00:56:00Z</dcterms:created>
  <dcterms:modified xsi:type="dcterms:W3CDTF">2025-12-15T13:11:08Z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D516D7EEA95A4C94BF2A1B77028CCED6_13</vt:lpwstr>
  </property>
  <property fmtid="{D5CDD505-2E9C-101B-9397-08002B2CF9AE}" pid="3" name="KSOProductBuildVer">
    <vt:lpwstr>2052-12.1.0.23542</vt:lpwstr>
  </property>
</Properties>
</file>