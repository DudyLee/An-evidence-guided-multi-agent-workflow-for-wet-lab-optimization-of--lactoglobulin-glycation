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NewDisk\Research\AI Food agent\糖基化结果\"/>
    </mc:Choice>
  </mc:AlternateContent>
  <xr:revisionPtr revIDLastSave="0" documentId="13_ncr:1_{4B8879E6-BF44-454A-9615-9DC6C893F83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I6" i="1"/>
  <c r="I5" i="1"/>
  <c r="I4" i="1"/>
  <c r="I3" i="1"/>
  <c r="H6" i="1"/>
  <c r="H5" i="1"/>
  <c r="H3" i="1"/>
  <c r="H4" i="1"/>
</calcChain>
</file>

<file path=xl/sharedStrings.xml><?xml version="1.0" encoding="utf-8"?>
<sst xmlns="http://schemas.openxmlformats.org/spreadsheetml/2006/main" count="62" uniqueCount="60">
  <si>
    <t>未超声</t>
  </si>
  <si>
    <t>误差</t>
  </si>
  <si>
    <t>标签</t>
  </si>
  <si>
    <t>超声</t>
  </si>
  <si>
    <t>N</t>
  </si>
  <si>
    <t>核糖-3h</t>
  </si>
  <si>
    <t>核糖-6h</t>
  </si>
  <si>
    <t>核糖-9h</t>
  </si>
  <si>
    <t>核糖-12h</t>
  </si>
  <si>
    <t>核糖-18h</t>
  </si>
  <si>
    <t>核糖-24h</t>
  </si>
  <si>
    <t>木糖-3h</t>
  </si>
  <si>
    <t>木糖-6h</t>
  </si>
  <si>
    <t>木糖-9h</t>
  </si>
  <si>
    <t>木糖-12h</t>
  </si>
  <si>
    <t>木糖-18h</t>
  </si>
  <si>
    <t>木糖-24h</t>
  </si>
  <si>
    <t>阿拉伯糖-3h</t>
  </si>
  <si>
    <t>阿拉伯糖-6h</t>
  </si>
  <si>
    <t>阿拉伯糖-9h</t>
  </si>
  <si>
    <t>阿拉伯糖-12h</t>
  </si>
  <si>
    <t>阿拉伯糖-18h</t>
  </si>
  <si>
    <t>阿拉伯糖-24h</t>
  </si>
  <si>
    <t>葡萄糖-3h</t>
  </si>
  <si>
    <t>葡萄糖-6h</t>
  </si>
  <si>
    <t>葡萄糖-9h</t>
  </si>
  <si>
    <t>葡萄糖-12h</t>
  </si>
  <si>
    <t>葡萄糖-18h</t>
  </si>
  <si>
    <t>葡萄糖-24h</t>
  </si>
  <si>
    <t>果糖-3h</t>
  </si>
  <si>
    <t>果糖-6h</t>
  </si>
  <si>
    <t>果糖-9h</t>
  </si>
  <si>
    <t>果糖-12h</t>
  </si>
  <si>
    <t>果糖-18h</t>
  </si>
  <si>
    <t>果糖-24h</t>
  </si>
  <si>
    <t>半乳糖-3h</t>
  </si>
  <si>
    <t>半乳糖-6h</t>
  </si>
  <si>
    <t>半乳糖-9h</t>
  </si>
  <si>
    <t>半乳糖-12h</t>
  </si>
  <si>
    <t>半乳糖-18h</t>
  </si>
  <si>
    <t>半乳糖-24h</t>
  </si>
  <si>
    <t>乳糖-3h</t>
  </si>
  <si>
    <t>乳糖-6h</t>
  </si>
  <si>
    <t>乳糖-9h</t>
  </si>
  <si>
    <t>乳糖-12h</t>
  </si>
  <si>
    <t>乳糖-18h</t>
  </si>
  <si>
    <t>乳糖-24h</t>
  </si>
  <si>
    <t>麦芽糖-3h</t>
  </si>
  <si>
    <t>麦芽糖-6h</t>
  </si>
  <si>
    <t>麦芽糖-9h</t>
  </si>
  <si>
    <t>麦芽糖-12h</t>
  </si>
  <si>
    <t>麦芽糖-18h</t>
  </si>
  <si>
    <t>麦芽糖-24h</t>
  </si>
  <si>
    <t>纤维二糖-3h</t>
  </si>
  <si>
    <t>纤维二糖-6h</t>
  </si>
  <si>
    <t>纤维二糖-9h</t>
  </si>
  <si>
    <t>纤维二糖-12h</t>
  </si>
  <si>
    <t>纤维二糖-18h</t>
  </si>
  <si>
    <t>纤维二糖-24h</t>
  </si>
  <si>
    <t>核糖4h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</si>
</sst>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0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8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l-GR" sz="84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β-</a:t>
            </a:r>
            <a:r>
              <a:rPr lang="en-US" sz="84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Lg-</a:t>
            </a:r>
            <a:r>
              <a:rPr lang="zh-CN" altLang="en-US" sz="84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糖基化</a:t>
            </a:r>
            <a:r>
              <a:rPr lang="en-US" altLang="zh-CN" sz="84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-</a:t>
            </a:r>
            <a:r>
              <a:rPr lang="zh-CN" altLang="en-US" sz="84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单糖二糖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84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3138517735268703E-2"/>
          <c:y val="0.17297397083256399"/>
          <c:w val="0.91802364702489703"/>
          <c:h val="0.5616023629315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未超声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Sheet1!$A$2:$A$56</c:f>
              <c:strCache>
                <c:ptCount val="55"/>
                <c:pt idx="0">
                  <c:v>N</c:v>
                </c:pt>
                <c:pt idx="1">
                  <c:v>核糖-3h</c:v>
                </c:pt>
                <c:pt idx="2">
                  <c:v>核糖-6h</c:v>
                </c:pt>
                <c:pt idx="3">
                  <c:v>核糖-9h</c:v>
                </c:pt>
                <c:pt idx="4">
                  <c:v>核糖-12h</c:v>
                </c:pt>
                <c:pt idx="5">
                  <c:v>核糖-18h</c:v>
                </c:pt>
                <c:pt idx="6">
                  <c:v>核糖-24h</c:v>
                </c:pt>
                <c:pt idx="7">
                  <c:v>木糖-3h</c:v>
                </c:pt>
                <c:pt idx="8">
                  <c:v>木糖-6h</c:v>
                </c:pt>
                <c:pt idx="9">
                  <c:v>木糖-9h</c:v>
                </c:pt>
                <c:pt idx="10">
                  <c:v>木糖-12h</c:v>
                </c:pt>
                <c:pt idx="11">
                  <c:v>木糖-18h</c:v>
                </c:pt>
                <c:pt idx="12">
                  <c:v>木糖-24h</c:v>
                </c:pt>
                <c:pt idx="13">
                  <c:v>阿拉伯糖-3h</c:v>
                </c:pt>
                <c:pt idx="14">
                  <c:v>阿拉伯糖-6h</c:v>
                </c:pt>
                <c:pt idx="15">
                  <c:v>阿拉伯糖-9h</c:v>
                </c:pt>
                <c:pt idx="16">
                  <c:v>阿拉伯糖-12h</c:v>
                </c:pt>
                <c:pt idx="17">
                  <c:v>阿拉伯糖-18h</c:v>
                </c:pt>
                <c:pt idx="18">
                  <c:v>阿拉伯糖-24h</c:v>
                </c:pt>
                <c:pt idx="19">
                  <c:v>葡萄糖-3h</c:v>
                </c:pt>
                <c:pt idx="20">
                  <c:v>葡萄糖-6h</c:v>
                </c:pt>
                <c:pt idx="21">
                  <c:v>葡萄糖-9h</c:v>
                </c:pt>
                <c:pt idx="22">
                  <c:v>葡萄糖-12h</c:v>
                </c:pt>
                <c:pt idx="23">
                  <c:v>葡萄糖-18h</c:v>
                </c:pt>
                <c:pt idx="24">
                  <c:v>葡萄糖-24h</c:v>
                </c:pt>
                <c:pt idx="25">
                  <c:v>果糖-3h</c:v>
                </c:pt>
                <c:pt idx="26">
                  <c:v>果糖-6h</c:v>
                </c:pt>
                <c:pt idx="27">
                  <c:v>果糖-9h</c:v>
                </c:pt>
                <c:pt idx="28">
                  <c:v>果糖-12h</c:v>
                </c:pt>
                <c:pt idx="29">
                  <c:v>果糖-18h</c:v>
                </c:pt>
                <c:pt idx="30">
                  <c:v>果糖-24h</c:v>
                </c:pt>
                <c:pt idx="31">
                  <c:v>半乳糖-3h</c:v>
                </c:pt>
                <c:pt idx="32">
                  <c:v>半乳糖-6h</c:v>
                </c:pt>
                <c:pt idx="33">
                  <c:v>半乳糖-9h</c:v>
                </c:pt>
                <c:pt idx="34">
                  <c:v>半乳糖-12h</c:v>
                </c:pt>
                <c:pt idx="35">
                  <c:v>半乳糖-18h</c:v>
                </c:pt>
                <c:pt idx="36">
                  <c:v>半乳糖-24h</c:v>
                </c:pt>
                <c:pt idx="37">
                  <c:v>乳糖-3h</c:v>
                </c:pt>
                <c:pt idx="38">
                  <c:v>乳糖-6h</c:v>
                </c:pt>
                <c:pt idx="39">
                  <c:v>乳糖-9h</c:v>
                </c:pt>
                <c:pt idx="40">
                  <c:v>乳糖-12h</c:v>
                </c:pt>
                <c:pt idx="41">
                  <c:v>乳糖-18h</c:v>
                </c:pt>
                <c:pt idx="42">
                  <c:v>乳糖-24h</c:v>
                </c:pt>
                <c:pt idx="43">
                  <c:v>麦芽糖-3h</c:v>
                </c:pt>
                <c:pt idx="44">
                  <c:v>麦芽糖-6h</c:v>
                </c:pt>
                <c:pt idx="45">
                  <c:v>麦芽糖-9h</c:v>
                </c:pt>
                <c:pt idx="46">
                  <c:v>麦芽糖-12h</c:v>
                </c:pt>
                <c:pt idx="47">
                  <c:v>麦芽糖-18h</c:v>
                </c:pt>
                <c:pt idx="48">
                  <c:v>麦芽糖-24h</c:v>
                </c:pt>
                <c:pt idx="49">
                  <c:v>纤维二糖-3h</c:v>
                </c:pt>
                <c:pt idx="50">
                  <c:v>纤维二糖-6h</c:v>
                </c:pt>
                <c:pt idx="51">
                  <c:v>纤维二糖-9h</c:v>
                </c:pt>
                <c:pt idx="52">
                  <c:v>纤维二糖-12h</c:v>
                </c:pt>
                <c:pt idx="53">
                  <c:v>纤维二糖-18h</c:v>
                </c:pt>
                <c:pt idx="54">
                  <c:v>纤维二糖-24h</c:v>
                </c:pt>
              </c:strCache>
            </c:strRef>
          </c:cat>
          <c:val>
            <c:numRef>
              <c:f>Sheet1!$B$2:$B$56</c:f>
              <c:numCache>
                <c:formatCode>General</c:formatCode>
                <c:ptCount val="55"/>
                <c:pt idx="0">
                  <c:v>9.9455165202388507</c:v>
                </c:pt>
                <c:pt idx="1">
                  <c:v>3.04577589268008</c:v>
                </c:pt>
                <c:pt idx="2">
                  <c:v>1.81451802456015</c:v>
                </c:pt>
                <c:pt idx="3">
                  <c:v>1.61626405112632</c:v>
                </c:pt>
                <c:pt idx="4">
                  <c:v>0.88529050060785197</c:v>
                </c:pt>
                <c:pt idx="5">
                  <c:v>0.77392190935818495</c:v>
                </c:pt>
                <c:pt idx="6">
                  <c:v>0.59360881698969703</c:v>
                </c:pt>
                <c:pt idx="7">
                  <c:v>3.10357126903572</c:v>
                </c:pt>
                <c:pt idx="8">
                  <c:v>2.1004560640826901</c:v>
                </c:pt>
                <c:pt idx="9">
                  <c:v>1.3814522325835099</c:v>
                </c:pt>
                <c:pt idx="10">
                  <c:v>1.0414304684045901</c:v>
                </c:pt>
                <c:pt idx="11">
                  <c:v>0.86726140543214203</c:v>
                </c:pt>
                <c:pt idx="12">
                  <c:v>0.67271788429669299</c:v>
                </c:pt>
                <c:pt idx="13">
                  <c:v>3.2532973272460199</c:v>
                </c:pt>
                <c:pt idx="14">
                  <c:v>2.4570877982488901</c:v>
                </c:pt>
                <c:pt idx="15">
                  <c:v>2.1611780893435202</c:v>
                </c:pt>
                <c:pt idx="16">
                  <c:v>1.0815326150097999</c:v>
                </c:pt>
                <c:pt idx="17">
                  <c:v>0.96437434156407698</c:v>
                </c:pt>
                <c:pt idx="18">
                  <c:v>0.72677269567855995</c:v>
                </c:pt>
                <c:pt idx="19">
                  <c:v>3.2991908922869402</c:v>
                </c:pt>
                <c:pt idx="20">
                  <c:v>2.5969599098833802</c:v>
                </c:pt>
                <c:pt idx="21">
                  <c:v>1.9698125340927899</c:v>
                </c:pt>
                <c:pt idx="22">
                  <c:v>1.67859065955058</c:v>
                </c:pt>
                <c:pt idx="23">
                  <c:v>1.3062280430900799</c:v>
                </c:pt>
                <c:pt idx="24">
                  <c:v>1.1531166976428</c:v>
                </c:pt>
                <c:pt idx="25">
                  <c:v>4.2153199104133297</c:v>
                </c:pt>
                <c:pt idx="26">
                  <c:v>2.7902550856646799</c:v>
                </c:pt>
                <c:pt idx="27">
                  <c:v>2.6408176507904901</c:v>
                </c:pt>
                <c:pt idx="28">
                  <c:v>2.4474189349206501</c:v>
                </c:pt>
                <c:pt idx="29">
                  <c:v>1.6122101110195399</c:v>
                </c:pt>
                <c:pt idx="30">
                  <c:v>1.25399360335624</c:v>
                </c:pt>
                <c:pt idx="31">
                  <c:v>4.2780243492987404</c:v>
                </c:pt>
                <c:pt idx="32">
                  <c:v>3.3349586334649799</c:v>
                </c:pt>
                <c:pt idx="33">
                  <c:v>2.1483022639798599</c:v>
                </c:pt>
                <c:pt idx="34">
                  <c:v>1.4269176029810899</c:v>
                </c:pt>
                <c:pt idx="35">
                  <c:v>1.2272289763708499</c:v>
                </c:pt>
                <c:pt idx="36">
                  <c:v>0.76703480043217598</c:v>
                </c:pt>
                <c:pt idx="37">
                  <c:v>4.6448160474203597</c:v>
                </c:pt>
                <c:pt idx="38">
                  <c:v>3.5936343514966498</c:v>
                </c:pt>
                <c:pt idx="39">
                  <c:v>3.2899187545650599</c:v>
                </c:pt>
                <c:pt idx="40">
                  <c:v>1.60940412038448</c:v>
                </c:pt>
                <c:pt idx="41">
                  <c:v>0.84725156776100996</c:v>
                </c:pt>
                <c:pt idx="42">
                  <c:v>0.77371666477491396</c:v>
                </c:pt>
                <c:pt idx="43">
                  <c:v>4.8488762802076897</c:v>
                </c:pt>
                <c:pt idx="44">
                  <c:v>3.67544094510734</c:v>
                </c:pt>
                <c:pt idx="45">
                  <c:v>2.41932661077802</c:v>
                </c:pt>
                <c:pt idx="46">
                  <c:v>2.1610128780011202</c:v>
                </c:pt>
                <c:pt idx="47">
                  <c:v>1.8675628399242601</c:v>
                </c:pt>
                <c:pt idx="48">
                  <c:v>1.4720933654022199</c:v>
                </c:pt>
                <c:pt idx="49">
                  <c:v>4.854746924614</c:v>
                </c:pt>
                <c:pt idx="50">
                  <c:v>2.9663024408682599</c:v>
                </c:pt>
                <c:pt idx="51">
                  <c:v>2.5498040144620102</c:v>
                </c:pt>
                <c:pt idx="52">
                  <c:v>2.0080277462332901</c:v>
                </c:pt>
                <c:pt idx="53">
                  <c:v>1.9643094036359701</c:v>
                </c:pt>
                <c:pt idx="54">
                  <c:v>1.54377456553051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5-4CD9-8B21-92881C344307}"/>
            </c:ext>
          </c:extLst>
        </c:ser>
        <c:ser>
          <c:idx val="2"/>
          <c:order val="1"/>
          <c:tx>
            <c:strRef>
              <c:f>Sheet1!$D$1</c:f>
              <c:strCache>
                <c:ptCount val="1"/>
                <c:pt idx="0">
                  <c:v>标签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Sheet1!$A$2:$A$56</c:f>
              <c:strCache>
                <c:ptCount val="55"/>
                <c:pt idx="0">
                  <c:v>N</c:v>
                </c:pt>
                <c:pt idx="1">
                  <c:v>核糖-3h</c:v>
                </c:pt>
                <c:pt idx="2">
                  <c:v>核糖-6h</c:v>
                </c:pt>
                <c:pt idx="3">
                  <c:v>核糖-9h</c:v>
                </c:pt>
                <c:pt idx="4">
                  <c:v>核糖-12h</c:v>
                </c:pt>
                <c:pt idx="5">
                  <c:v>核糖-18h</c:v>
                </c:pt>
                <c:pt idx="6">
                  <c:v>核糖-24h</c:v>
                </c:pt>
                <c:pt idx="7">
                  <c:v>木糖-3h</c:v>
                </c:pt>
                <c:pt idx="8">
                  <c:v>木糖-6h</c:v>
                </c:pt>
                <c:pt idx="9">
                  <c:v>木糖-9h</c:v>
                </c:pt>
                <c:pt idx="10">
                  <c:v>木糖-12h</c:v>
                </c:pt>
                <c:pt idx="11">
                  <c:v>木糖-18h</c:v>
                </c:pt>
                <c:pt idx="12">
                  <c:v>木糖-24h</c:v>
                </c:pt>
                <c:pt idx="13">
                  <c:v>阿拉伯糖-3h</c:v>
                </c:pt>
                <c:pt idx="14">
                  <c:v>阿拉伯糖-6h</c:v>
                </c:pt>
                <c:pt idx="15">
                  <c:v>阿拉伯糖-9h</c:v>
                </c:pt>
                <c:pt idx="16">
                  <c:v>阿拉伯糖-12h</c:v>
                </c:pt>
                <c:pt idx="17">
                  <c:v>阿拉伯糖-18h</c:v>
                </c:pt>
                <c:pt idx="18">
                  <c:v>阿拉伯糖-24h</c:v>
                </c:pt>
                <c:pt idx="19">
                  <c:v>葡萄糖-3h</c:v>
                </c:pt>
                <c:pt idx="20">
                  <c:v>葡萄糖-6h</c:v>
                </c:pt>
                <c:pt idx="21">
                  <c:v>葡萄糖-9h</c:v>
                </c:pt>
                <c:pt idx="22">
                  <c:v>葡萄糖-12h</c:v>
                </c:pt>
                <c:pt idx="23">
                  <c:v>葡萄糖-18h</c:v>
                </c:pt>
                <c:pt idx="24">
                  <c:v>葡萄糖-24h</c:v>
                </c:pt>
                <c:pt idx="25">
                  <c:v>果糖-3h</c:v>
                </c:pt>
                <c:pt idx="26">
                  <c:v>果糖-6h</c:v>
                </c:pt>
                <c:pt idx="27">
                  <c:v>果糖-9h</c:v>
                </c:pt>
                <c:pt idx="28">
                  <c:v>果糖-12h</c:v>
                </c:pt>
                <c:pt idx="29">
                  <c:v>果糖-18h</c:v>
                </c:pt>
                <c:pt idx="30">
                  <c:v>果糖-24h</c:v>
                </c:pt>
                <c:pt idx="31">
                  <c:v>半乳糖-3h</c:v>
                </c:pt>
                <c:pt idx="32">
                  <c:v>半乳糖-6h</c:v>
                </c:pt>
                <c:pt idx="33">
                  <c:v>半乳糖-9h</c:v>
                </c:pt>
                <c:pt idx="34">
                  <c:v>半乳糖-12h</c:v>
                </c:pt>
                <c:pt idx="35">
                  <c:v>半乳糖-18h</c:v>
                </c:pt>
                <c:pt idx="36">
                  <c:v>半乳糖-24h</c:v>
                </c:pt>
                <c:pt idx="37">
                  <c:v>乳糖-3h</c:v>
                </c:pt>
                <c:pt idx="38">
                  <c:v>乳糖-6h</c:v>
                </c:pt>
                <c:pt idx="39">
                  <c:v>乳糖-9h</c:v>
                </c:pt>
                <c:pt idx="40">
                  <c:v>乳糖-12h</c:v>
                </c:pt>
                <c:pt idx="41">
                  <c:v>乳糖-18h</c:v>
                </c:pt>
                <c:pt idx="42">
                  <c:v>乳糖-24h</c:v>
                </c:pt>
                <c:pt idx="43">
                  <c:v>麦芽糖-3h</c:v>
                </c:pt>
                <c:pt idx="44">
                  <c:v>麦芽糖-6h</c:v>
                </c:pt>
                <c:pt idx="45">
                  <c:v>麦芽糖-9h</c:v>
                </c:pt>
                <c:pt idx="46">
                  <c:v>麦芽糖-12h</c:v>
                </c:pt>
                <c:pt idx="47">
                  <c:v>麦芽糖-18h</c:v>
                </c:pt>
                <c:pt idx="48">
                  <c:v>麦芽糖-24h</c:v>
                </c:pt>
                <c:pt idx="49">
                  <c:v>纤维二糖-3h</c:v>
                </c:pt>
                <c:pt idx="50">
                  <c:v>纤维二糖-6h</c:v>
                </c:pt>
                <c:pt idx="51">
                  <c:v>纤维二糖-9h</c:v>
                </c:pt>
                <c:pt idx="52">
                  <c:v>纤维二糖-12h</c:v>
                </c:pt>
                <c:pt idx="53">
                  <c:v>纤维二糖-18h</c:v>
                </c:pt>
                <c:pt idx="54">
                  <c:v>纤维二糖-24h</c:v>
                </c:pt>
              </c:strCache>
            </c:strRef>
          </c:cat>
          <c:val>
            <c:numRef>
              <c:f>Sheet1!$D$2:$D$56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1-95F5-4CD9-8B21-92881C344307}"/>
            </c:ext>
          </c:extLst>
        </c:ser>
        <c:ser>
          <c:idx val="3"/>
          <c:order val="2"/>
          <c:tx>
            <c:strRef>
              <c:f>Sheet1!$E$1</c:f>
              <c:strCache>
                <c:ptCount val="1"/>
                <c:pt idx="0">
                  <c:v>超声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Sheet1!$A$2:$A$56</c:f>
              <c:strCache>
                <c:ptCount val="55"/>
                <c:pt idx="0">
                  <c:v>N</c:v>
                </c:pt>
                <c:pt idx="1">
                  <c:v>核糖-3h</c:v>
                </c:pt>
                <c:pt idx="2">
                  <c:v>核糖-6h</c:v>
                </c:pt>
                <c:pt idx="3">
                  <c:v>核糖-9h</c:v>
                </c:pt>
                <c:pt idx="4">
                  <c:v>核糖-12h</c:v>
                </c:pt>
                <c:pt idx="5">
                  <c:v>核糖-18h</c:v>
                </c:pt>
                <c:pt idx="6">
                  <c:v>核糖-24h</c:v>
                </c:pt>
                <c:pt idx="7">
                  <c:v>木糖-3h</c:v>
                </c:pt>
                <c:pt idx="8">
                  <c:v>木糖-6h</c:v>
                </c:pt>
                <c:pt idx="9">
                  <c:v>木糖-9h</c:v>
                </c:pt>
                <c:pt idx="10">
                  <c:v>木糖-12h</c:v>
                </c:pt>
                <c:pt idx="11">
                  <c:v>木糖-18h</c:v>
                </c:pt>
                <c:pt idx="12">
                  <c:v>木糖-24h</c:v>
                </c:pt>
                <c:pt idx="13">
                  <c:v>阿拉伯糖-3h</c:v>
                </c:pt>
                <c:pt idx="14">
                  <c:v>阿拉伯糖-6h</c:v>
                </c:pt>
                <c:pt idx="15">
                  <c:v>阿拉伯糖-9h</c:v>
                </c:pt>
                <c:pt idx="16">
                  <c:v>阿拉伯糖-12h</c:v>
                </c:pt>
                <c:pt idx="17">
                  <c:v>阿拉伯糖-18h</c:v>
                </c:pt>
                <c:pt idx="18">
                  <c:v>阿拉伯糖-24h</c:v>
                </c:pt>
                <c:pt idx="19">
                  <c:v>葡萄糖-3h</c:v>
                </c:pt>
                <c:pt idx="20">
                  <c:v>葡萄糖-6h</c:v>
                </c:pt>
                <c:pt idx="21">
                  <c:v>葡萄糖-9h</c:v>
                </c:pt>
                <c:pt idx="22">
                  <c:v>葡萄糖-12h</c:v>
                </c:pt>
                <c:pt idx="23">
                  <c:v>葡萄糖-18h</c:v>
                </c:pt>
                <c:pt idx="24">
                  <c:v>葡萄糖-24h</c:v>
                </c:pt>
                <c:pt idx="25">
                  <c:v>果糖-3h</c:v>
                </c:pt>
                <c:pt idx="26">
                  <c:v>果糖-6h</c:v>
                </c:pt>
                <c:pt idx="27">
                  <c:v>果糖-9h</c:v>
                </c:pt>
                <c:pt idx="28">
                  <c:v>果糖-12h</c:v>
                </c:pt>
                <c:pt idx="29">
                  <c:v>果糖-18h</c:v>
                </c:pt>
                <c:pt idx="30">
                  <c:v>果糖-24h</c:v>
                </c:pt>
                <c:pt idx="31">
                  <c:v>半乳糖-3h</c:v>
                </c:pt>
                <c:pt idx="32">
                  <c:v>半乳糖-6h</c:v>
                </c:pt>
                <c:pt idx="33">
                  <c:v>半乳糖-9h</c:v>
                </c:pt>
                <c:pt idx="34">
                  <c:v>半乳糖-12h</c:v>
                </c:pt>
                <c:pt idx="35">
                  <c:v>半乳糖-18h</c:v>
                </c:pt>
                <c:pt idx="36">
                  <c:v>半乳糖-24h</c:v>
                </c:pt>
                <c:pt idx="37">
                  <c:v>乳糖-3h</c:v>
                </c:pt>
                <c:pt idx="38">
                  <c:v>乳糖-6h</c:v>
                </c:pt>
                <c:pt idx="39">
                  <c:v>乳糖-9h</c:v>
                </c:pt>
                <c:pt idx="40">
                  <c:v>乳糖-12h</c:v>
                </c:pt>
                <c:pt idx="41">
                  <c:v>乳糖-18h</c:v>
                </c:pt>
                <c:pt idx="42">
                  <c:v>乳糖-24h</c:v>
                </c:pt>
                <c:pt idx="43">
                  <c:v>麦芽糖-3h</c:v>
                </c:pt>
                <c:pt idx="44">
                  <c:v>麦芽糖-6h</c:v>
                </c:pt>
                <c:pt idx="45">
                  <c:v>麦芽糖-9h</c:v>
                </c:pt>
                <c:pt idx="46">
                  <c:v>麦芽糖-12h</c:v>
                </c:pt>
                <c:pt idx="47">
                  <c:v>麦芽糖-18h</c:v>
                </c:pt>
                <c:pt idx="48">
                  <c:v>麦芽糖-24h</c:v>
                </c:pt>
                <c:pt idx="49">
                  <c:v>纤维二糖-3h</c:v>
                </c:pt>
                <c:pt idx="50">
                  <c:v>纤维二糖-6h</c:v>
                </c:pt>
                <c:pt idx="51">
                  <c:v>纤维二糖-9h</c:v>
                </c:pt>
                <c:pt idx="52">
                  <c:v>纤维二糖-12h</c:v>
                </c:pt>
                <c:pt idx="53">
                  <c:v>纤维二糖-18h</c:v>
                </c:pt>
                <c:pt idx="54">
                  <c:v>纤维二糖-24h</c:v>
                </c:pt>
              </c:strCache>
            </c:strRef>
          </c:cat>
          <c:val>
            <c:numRef>
              <c:f>Sheet1!$E$2:$E$56</c:f>
              <c:numCache>
                <c:formatCode>General</c:formatCode>
                <c:ptCount val="55"/>
                <c:pt idx="1">
                  <c:v>2.08482740759555</c:v>
                </c:pt>
                <c:pt idx="2">
                  <c:v>1.62012370018989</c:v>
                </c:pt>
                <c:pt idx="3">
                  <c:v>1.11385116172164</c:v>
                </c:pt>
                <c:pt idx="4">
                  <c:v>0.87571517433940804</c:v>
                </c:pt>
                <c:pt idx="5">
                  <c:v>0.67405573665782903</c:v>
                </c:pt>
                <c:pt idx="6">
                  <c:v>0.54223871525548595</c:v>
                </c:pt>
                <c:pt idx="7">
                  <c:v>2.54211259540521</c:v>
                </c:pt>
                <c:pt idx="8">
                  <c:v>1.7267762149481101</c:v>
                </c:pt>
                <c:pt idx="9">
                  <c:v>1.21393619900048</c:v>
                </c:pt>
                <c:pt idx="10">
                  <c:v>1.0330063472859301</c:v>
                </c:pt>
                <c:pt idx="11">
                  <c:v>0.77471323009164395</c:v>
                </c:pt>
                <c:pt idx="12">
                  <c:v>0.45422234640081099</c:v>
                </c:pt>
                <c:pt idx="13">
                  <c:v>2.4885509011203801</c:v>
                </c:pt>
                <c:pt idx="14">
                  <c:v>2.1332832701378899</c:v>
                </c:pt>
                <c:pt idx="15">
                  <c:v>1.5696891769242001</c:v>
                </c:pt>
                <c:pt idx="16">
                  <c:v>0.92907326329538398</c:v>
                </c:pt>
                <c:pt idx="17">
                  <c:v>0.87895646836906005</c:v>
                </c:pt>
                <c:pt idx="18">
                  <c:v>0.44656844566152198</c:v>
                </c:pt>
                <c:pt idx="19">
                  <c:v>2.8856894396762001</c:v>
                </c:pt>
                <c:pt idx="20">
                  <c:v>2.1130146076286298</c:v>
                </c:pt>
                <c:pt idx="21">
                  <c:v>1.7401676054665201</c:v>
                </c:pt>
                <c:pt idx="22">
                  <c:v>1.55822853012208</c:v>
                </c:pt>
                <c:pt idx="23">
                  <c:v>1.2024220687785201</c:v>
                </c:pt>
                <c:pt idx="24">
                  <c:v>0.91350349062126301</c:v>
                </c:pt>
                <c:pt idx="25">
                  <c:v>3.9599036179967602</c:v>
                </c:pt>
                <c:pt idx="26">
                  <c:v>2.5015570607402902</c:v>
                </c:pt>
                <c:pt idx="27">
                  <c:v>2.3342783551308401</c:v>
                </c:pt>
                <c:pt idx="28">
                  <c:v>1.9771962699697101</c:v>
                </c:pt>
                <c:pt idx="29">
                  <c:v>1.55145080756613</c:v>
                </c:pt>
                <c:pt idx="30">
                  <c:v>1.1862492302412999</c:v>
                </c:pt>
                <c:pt idx="31">
                  <c:v>4.2481058366626296</c:v>
                </c:pt>
                <c:pt idx="32">
                  <c:v>2.3975075447348302</c:v>
                </c:pt>
                <c:pt idx="33">
                  <c:v>1.86198531484283</c:v>
                </c:pt>
                <c:pt idx="34">
                  <c:v>1.186935705724</c:v>
                </c:pt>
                <c:pt idx="35">
                  <c:v>0.81163052413016701</c:v>
                </c:pt>
                <c:pt idx="36">
                  <c:v>0.69366896687047097</c:v>
                </c:pt>
                <c:pt idx="37">
                  <c:v>3.8157279985579802</c:v>
                </c:pt>
                <c:pt idx="38">
                  <c:v>3.4382149910946498</c:v>
                </c:pt>
                <c:pt idx="39">
                  <c:v>2.21105032391793</c:v>
                </c:pt>
                <c:pt idx="40">
                  <c:v>1.0099190310725401</c:v>
                </c:pt>
                <c:pt idx="41">
                  <c:v>0.84261713245261605</c:v>
                </c:pt>
                <c:pt idx="42">
                  <c:v>0.74785887303560905</c:v>
                </c:pt>
                <c:pt idx="43">
                  <c:v>3.8523150674515398</c:v>
                </c:pt>
                <c:pt idx="44">
                  <c:v>2.6692040535146999</c:v>
                </c:pt>
                <c:pt idx="45">
                  <c:v>2.2875596972259902</c:v>
                </c:pt>
                <c:pt idx="46">
                  <c:v>2.0066105771324798</c:v>
                </c:pt>
                <c:pt idx="47">
                  <c:v>1.5036220941162699</c:v>
                </c:pt>
                <c:pt idx="48">
                  <c:v>1.2025370761223</c:v>
                </c:pt>
                <c:pt idx="49">
                  <c:v>3.8728527744308301</c:v>
                </c:pt>
                <c:pt idx="50">
                  <c:v>2.7831290989331201</c:v>
                </c:pt>
                <c:pt idx="51">
                  <c:v>2.1282565912024598</c:v>
                </c:pt>
                <c:pt idx="52">
                  <c:v>1.84068521417457</c:v>
                </c:pt>
                <c:pt idx="53">
                  <c:v>1.82125621181774</c:v>
                </c:pt>
                <c:pt idx="54">
                  <c:v>1.62134225917613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F5-4CD9-8B21-92881C344307}"/>
            </c:ext>
          </c:extLst>
        </c:ser>
        <c:ser>
          <c:idx val="5"/>
          <c:order val="3"/>
          <c:tx>
            <c:strRef>
              <c:f>Sheet1!$G$1</c:f>
              <c:strCache>
                <c:ptCount val="1"/>
                <c:pt idx="0">
                  <c:v>标签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Sheet1!$A$2:$A$56</c:f>
              <c:strCache>
                <c:ptCount val="55"/>
                <c:pt idx="0">
                  <c:v>N</c:v>
                </c:pt>
                <c:pt idx="1">
                  <c:v>核糖-3h</c:v>
                </c:pt>
                <c:pt idx="2">
                  <c:v>核糖-6h</c:v>
                </c:pt>
                <c:pt idx="3">
                  <c:v>核糖-9h</c:v>
                </c:pt>
                <c:pt idx="4">
                  <c:v>核糖-12h</c:v>
                </c:pt>
                <c:pt idx="5">
                  <c:v>核糖-18h</c:v>
                </c:pt>
                <c:pt idx="6">
                  <c:v>核糖-24h</c:v>
                </c:pt>
                <c:pt idx="7">
                  <c:v>木糖-3h</c:v>
                </c:pt>
                <c:pt idx="8">
                  <c:v>木糖-6h</c:v>
                </c:pt>
                <c:pt idx="9">
                  <c:v>木糖-9h</c:v>
                </c:pt>
                <c:pt idx="10">
                  <c:v>木糖-12h</c:v>
                </c:pt>
                <c:pt idx="11">
                  <c:v>木糖-18h</c:v>
                </c:pt>
                <c:pt idx="12">
                  <c:v>木糖-24h</c:v>
                </c:pt>
                <c:pt idx="13">
                  <c:v>阿拉伯糖-3h</c:v>
                </c:pt>
                <c:pt idx="14">
                  <c:v>阿拉伯糖-6h</c:v>
                </c:pt>
                <c:pt idx="15">
                  <c:v>阿拉伯糖-9h</c:v>
                </c:pt>
                <c:pt idx="16">
                  <c:v>阿拉伯糖-12h</c:v>
                </c:pt>
                <c:pt idx="17">
                  <c:v>阿拉伯糖-18h</c:v>
                </c:pt>
                <c:pt idx="18">
                  <c:v>阿拉伯糖-24h</c:v>
                </c:pt>
                <c:pt idx="19">
                  <c:v>葡萄糖-3h</c:v>
                </c:pt>
                <c:pt idx="20">
                  <c:v>葡萄糖-6h</c:v>
                </c:pt>
                <c:pt idx="21">
                  <c:v>葡萄糖-9h</c:v>
                </c:pt>
                <c:pt idx="22">
                  <c:v>葡萄糖-12h</c:v>
                </c:pt>
                <c:pt idx="23">
                  <c:v>葡萄糖-18h</c:v>
                </c:pt>
                <c:pt idx="24">
                  <c:v>葡萄糖-24h</c:v>
                </c:pt>
                <c:pt idx="25">
                  <c:v>果糖-3h</c:v>
                </c:pt>
                <c:pt idx="26">
                  <c:v>果糖-6h</c:v>
                </c:pt>
                <c:pt idx="27">
                  <c:v>果糖-9h</c:v>
                </c:pt>
                <c:pt idx="28">
                  <c:v>果糖-12h</c:v>
                </c:pt>
                <c:pt idx="29">
                  <c:v>果糖-18h</c:v>
                </c:pt>
                <c:pt idx="30">
                  <c:v>果糖-24h</c:v>
                </c:pt>
                <c:pt idx="31">
                  <c:v>半乳糖-3h</c:v>
                </c:pt>
                <c:pt idx="32">
                  <c:v>半乳糖-6h</c:v>
                </c:pt>
                <c:pt idx="33">
                  <c:v>半乳糖-9h</c:v>
                </c:pt>
                <c:pt idx="34">
                  <c:v>半乳糖-12h</c:v>
                </c:pt>
                <c:pt idx="35">
                  <c:v>半乳糖-18h</c:v>
                </c:pt>
                <c:pt idx="36">
                  <c:v>半乳糖-24h</c:v>
                </c:pt>
                <c:pt idx="37">
                  <c:v>乳糖-3h</c:v>
                </c:pt>
                <c:pt idx="38">
                  <c:v>乳糖-6h</c:v>
                </c:pt>
                <c:pt idx="39">
                  <c:v>乳糖-9h</c:v>
                </c:pt>
                <c:pt idx="40">
                  <c:v>乳糖-12h</c:v>
                </c:pt>
                <c:pt idx="41">
                  <c:v>乳糖-18h</c:v>
                </c:pt>
                <c:pt idx="42">
                  <c:v>乳糖-24h</c:v>
                </c:pt>
                <c:pt idx="43">
                  <c:v>麦芽糖-3h</c:v>
                </c:pt>
                <c:pt idx="44">
                  <c:v>麦芽糖-6h</c:v>
                </c:pt>
                <c:pt idx="45">
                  <c:v>麦芽糖-9h</c:v>
                </c:pt>
                <c:pt idx="46">
                  <c:v>麦芽糖-12h</c:v>
                </c:pt>
                <c:pt idx="47">
                  <c:v>麦芽糖-18h</c:v>
                </c:pt>
                <c:pt idx="48">
                  <c:v>麦芽糖-24h</c:v>
                </c:pt>
                <c:pt idx="49">
                  <c:v>纤维二糖-3h</c:v>
                </c:pt>
                <c:pt idx="50">
                  <c:v>纤维二糖-6h</c:v>
                </c:pt>
                <c:pt idx="51">
                  <c:v>纤维二糖-9h</c:v>
                </c:pt>
                <c:pt idx="52">
                  <c:v>纤维二糖-12h</c:v>
                </c:pt>
                <c:pt idx="53">
                  <c:v>纤维二糖-18h</c:v>
                </c:pt>
                <c:pt idx="54">
                  <c:v>纤维二糖-24h</c:v>
                </c:pt>
              </c:strCache>
            </c:strRef>
          </c:cat>
          <c:val>
            <c:numRef>
              <c:f>Sheet1!$G$2:$G$56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3-95F5-4CD9-8B21-92881C344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50"/>
        <c:axId val="710452105"/>
        <c:axId val="527186614"/>
      </c:barChart>
      <c:catAx>
        <c:axId val="7104521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527186614"/>
        <c:crosses val="autoZero"/>
        <c:auto val="0"/>
        <c:lblAlgn val="ctr"/>
        <c:lblOffset val="100"/>
        <c:noMultiLvlLbl val="0"/>
      </c:catAx>
      <c:valAx>
        <c:axId val="5271866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7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sz="7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IgG</a:t>
                </a:r>
                <a:r>
                  <a:rPr lang="zh-CN" altLang="en-US" sz="7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结合力 </a:t>
                </a:r>
                <a:r>
                  <a:rPr lang="en-US" altLang="zh-CN" sz="7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(</a:t>
                </a:r>
                <a:r>
                  <a:rPr lang="en-US" sz="7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mg/mL)</a:t>
                </a:r>
              </a:p>
            </c:rich>
          </c:tx>
          <c:layout>
            <c:manualLayout>
              <c:xMode val="edge"/>
              <c:yMode val="edge"/>
              <c:x val="1.36499895115056E-2"/>
              <c:y val="0.34548533780964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7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7104521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0.86856280126370999"/>
          <c:y val="0.229286696824942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zh-CN"/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c691bb3e-f277-43e8-8012-9617cfadda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700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174657</xdr:colOff>
      <xdr:row>6</xdr:row>
      <xdr:rowOff>44716</xdr:rowOff>
    </xdr:from>
    <xdr:to>
      <xdr:col>18</xdr:col>
      <xdr:colOff>427883</xdr:colOff>
      <xdr:row>25</xdr:row>
      <xdr:rowOff>101867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452120</xdr:colOff>
      <xdr:row>8</xdr:row>
      <xdr:rowOff>43815</xdr:rowOff>
    </xdr:from>
    <xdr:to>
      <xdr:col>16</xdr:col>
      <xdr:colOff>45085</xdr:colOff>
      <xdr:row>12</xdr:row>
      <xdr:rowOff>10160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967720" y="1466215"/>
          <a:ext cx="1421765" cy="6775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10 mg/mL β-Lg </a:t>
          </a:r>
          <a:r>
            <a:rPr lang="en-US" altLang="zh-CN" sz="800" b="1">
              <a:latin typeface="Times New Roman" panose="02020603050405020304" charset="0"/>
              <a:cs typeface="Times New Roman" panose="02020603050405020304" charset="0"/>
              <a:sym typeface="+mn-ea"/>
            </a:rPr>
            <a:t> 1: 2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  <a:sym typeface="+mn-ea"/>
            </a:rPr>
            <a:t>质量比</a:t>
          </a:r>
        </a:p>
        <a:p>
          <a:pPr algn="l"/>
          <a:r>
            <a:rPr lang="en-US" altLang="zh-CN" sz="800" b="1">
              <a:latin typeface="Times New Roman" panose="02020603050405020304" charset="0"/>
              <a:cs typeface="Times New Roman" panose="02020603050405020304" charset="0"/>
              <a:sym typeface="+mn-ea"/>
            </a:rPr>
            <a:t>400 W 12 min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  <a:sym typeface="+mn-ea"/>
            </a:rPr>
            <a:t>超声</a:t>
          </a:r>
          <a:endParaRPr lang="en-US" altLang="zh-CN" sz="800" b="1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60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</a:rPr>
            <a:t>℃</a:t>
          </a:r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 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</a:rPr>
            <a:t>干法</a:t>
          </a:r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 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</a:rPr>
            <a:t>水分活度</a:t>
          </a:r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0.79</a:t>
          </a:r>
          <a:endParaRPr lang="zh-CN" altLang="en-US" sz="800" b="1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20 mmPB pH7.3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zoomScale="130" zoomScaleNormal="130" workbookViewId="0">
      <pane ySplit="1" topLeftCell="A2" activePane="bottomLeft" state="frozen"/>
      <selection pane="bottomLeft" activeCell="A51" sqref="A51:F51"/>
    </sheetView>
  </sheetViews>
  <sheetFormatPr defaultColWidth="8.796875" defaultRowHeight="13.5" x14ac:dyDescent="0.3"/>
  <cols>
    <col min="1" max="1" width="17.19921875" customWidth="1"/>
    <col min="2" max="3" width="12.796875"/>
    <col min="5" max="5" width="12.796875"/>
    <col min="9" max="10" width="12.796875"/>
    <col min="12" max="13" width="12.796875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1</v>
      </c>
      <c r="G1" t="s">
        <v>2</v>
      </c>
    </row>
    <row r="2" spans="1:14" x14ac:dyDescent="0.3">
      <c r="A2" t="s">
        <v>4</v>
      </c>
      <c r="B2">
        <v>9.9455165202388507</v>
      </c>
      <c r="C2">
        <v>9.7943125020636193E-2</v>
      </c>
    </row>
    <row r="3" spans="1:14" x14ac:dyDescent="0.3">
      <c r="A3" s="4" t="s">
        <v>5</v>
      </c>
      <c r="B3" s="4">
        <v>3.04577589268008</v>
      </c>
      <c r="C3" s="4">
        <v>0.13105605798909201</v>
      </c>
      <c r="D3" s="4"/>
      <c r="E3" s="4">
        <v>2.08482740759555</v>
      </c>
      <c r="F3" s="4">
        <v>3.5522708730470601E-2</v>
      </c>
      <c r="H3">
        <f>(B2-B3)/B2*100%</f>
        <v>0.69375387527817078</v>
      </c>
      <c r="I3">
        <f>(B2-E3)/B2</f>
        <v>0.79037515011382431</v>
      </c>
      <c r="K3" s="2" t="s">
        <v>59</v>
      </c>
      <c r="L3">
        <f>B2*(1-85.6%)</f>
        <v>1.4321543789143947</v>
      </c>
      <c r="M3" s="3">
        <v>0.85599999999999998</v>
      </c>
      <c r="N3">
        <v>1.7000000000000001E-2</v>
      </c>
    </row>
    <row r="4" spans="1:14" x14ac:dyDescent="0.3">
      <c r="A4" t="s">
        <v>6</v>
      </c>
      <c r="B4" s="1">
        <v>1.81451802456015</v>
      </c>
      <c r="C4" s="1">
        <v>0.175805559913259</v>
      </c>
      <c r="E4" s="1">
        <v>1.62012370018989</v>
      </c>
      <c r="F4" s="1">
        <v>4.2920591995088103E-2</v>
      </c>
      <c r="H4">
        <f>(B2-B4)/B2*100%</f>
        <v>0.81755416917083623</v>
      </c>
      <c r="I4">
        <f>(B2-E4)/B2</f>
        <v>0.83710009461117652</v>
      </c>
    </row>
    <row r="5" spans="1:14" x14ac:dyDescent="0.3">
      <c r="A5" t="s">
        <v>7</v>
      </c>
      <c r="B5" s="1">
        <v>1.61626405112632</v>
      </c>
      <c r="C5" s="1">
        <v>6.6249490662814894E-2</v>
      </c>
      <c r="E5" s="1">
        <v>1.11385116172164</v>
      </c>
      <c r="F5" s="1">
        <v>7.4958186335841601E-2</v>
      </c>
      <c r="H5">
        <f>(B2-B5)/B2*100%</f>
        <v>0.8374881739085881</v>
      </c>
      <c r="I5">
        <f>(B2-E5)/B2</f>
        <v>0.88800469443140684</v>
      </c>
    </row>
    <row r="6" spans="1:14" x14ac:dyDescent="0.3">
      <c r="A6" t="s">
        <v>8</v>
      </c>
      <c r="B6" s="1">
        <v>0.88529050060785197</v>
      </c>
      <c r="C6" s="1">
        <v>5.8224392259780801E-2</v>
      </c>
      <c r="E6" s="1">
        <v>0.87571517433940804</v>
      </c>
      <c r="F6" s="1">
        <v>2.4361607169111801E-2</v>
      </c>
      <c r="H6">
        <f>(B2-B6)/B2*100%</f>
        <v>0.91098597053191654</v>
      </c>
      <c r="I6">
        <f>(B2-E6)/B2</f>
        <v>0.9119487487092951</v>
      </c>
    </row>
    <row r="7" spans="1:14" x14ac:dyDescent="0.3">
      <c r="A7" t="s">
        <v>9</v>
      </c>
      <c r="B7" s="1">
        <v>0.77392190935818495</v>
      </c>
      <c r="C7" s="1">
        <v>0.16319403411554501</v>
      </c>
      <c r="E7" s="1">
        <v>0.67405573665782903</v>
      </c>
      <c r="F7" s="1">
        <v>1.36939663126726E-2</v>
      </c>
    </row>
    <row r="8" spans="1:14" x14ac:dyDescent="0.3">
      <c r="A8" t="s">
        <v>10</v>
      </c>
      <c r="B8" s="1">
        <v>0.59360881698969703</v>
      </c>
      <c r="C8" s="1">
        <v>2.3051918500222299E-2</v>
      </c>
      <c r="E8" s="1">
        <v>0.54223871525548595</v>
      </c>
      <c r="F8" s="1">
        <v>1.9802644808041999E-2</v>
      </c>
    </row>
    <row r="9" spans="1:14" x14ac:dyDescent="0.3">
      <c r="A9" s="4" t="s">
        <v>11</v>
      </c>
      <c r="B9" s="4">
        <v>3.10357126903572</v>
      </c>
      <c r="C9" s="4">
        <v>0.45624216414003699</v>
      </c>
      <c r="D9" s="4"/>
      <c r="E9" s="4">
        <v>2.54211259540521</v>
      </c>
      <c r="F9" s="4">
        <v>0.14222826718196799</v>
      </c>
    </row>
    <row r="10" spans="1:14" x14ac:dyDescent="0.3">
      <c r="A10" t="s">
        <v>12</v>
      </c>
      <c r="B10" s="1">
        <v>2.1004560640826901</v>
      </c>
      <c r="C10" s="1">
        <v>0.14491179375303201</v>
      </c>
      <c r="E10" s="1">
        <v>1.7267762149481101</v>
      </c>
      <c r="F10" s="1">
        <v>0.219500547724158</v>
      </c>
    </row>
    <row r="11" spans="1:14" x14ac:dyDescent="0.3">
      <c r="A11" t="s">
        <v>13</v>
      </c>
      <c r="B11" s="1">
        <v>1.3814522325835099</v>
      </c>
      <c r="C11" s="1">
        <v>5.0322652574227598E-2</v>
      </c>
      <c r="E11" s="1">
        <v>1.21393619900048</v>
      </c>
      <c r="F11" s="1">
        <v>2.2386896959924501E-2</v>
      </c>
    </row>
    <row r="12" spans="1:14" x14ac:dyDescent="0.3">
      <c r="A12" t="s">
        <v>14</v>
      </c>
      <c r="B12" s="1">
        <v>1.0414304684045901</v>
      </c>
      <c r="C12" s="1">
        <v>2.48077477396479E-2</v>
      </c>
      <c r="E12" s="1">
        <v>1.0330063472859301</v>
      </c>
      <c r="F12" s="1">
        <v>7.3581849808036406E-2</v>
      </c>
    </row>
    <row r="13" spans="1:14" x14ac:dyDescent="0.3">
      <c r="A13" t="s">
        <v>15</v>
      </c>
      <c r="B13" s="1">
        <v>0.86726140543214203</v>
      </c>
      <c r="C13" s="1">
        <v>6.8750524696123694E-2</v>
      </c>
      <c r="E13" s="1">
        <v>0.77471323009164395</v>
      </c>
      <c r="F13" s="1">
        <v>3.2417806791064999E-2</v>
      </c>
    </row>
    <row r="14" spans="1:14" x14ac:dyDescent="0.3">
      <c r="A14" t="s">
        <v>16</v>
      </c>
      <c r="B14" s="1">
        <v>0.67271788429669299</v>
      </c>
      <c r="C14" s="1">
        <v>2.1351285297107898E-2</v>
      </c>
      <c r="E14" s="1">
        <v>0.45422234640081099</v>
      </c>
      <c r="F14" s="1">
        <v>2.4783479002255401E-2</v>
      </c>
    </row>
    <row r="15" spans="1:14" x14ac:dyDescent="0.3">
      <c r="A15" s="4" t="s">
        <v>17</v>
      </c>
      <c r="B15" s="4">
        <v>3.2532973272460199</v>
      </c>
      <c r="C15" s="4">
        <v>9.5761098039562106E-2</v>
      </c>
      <c r="D15" s="4"/>
      <c r="E15" s="4">
        <v>2.4885509011203801</v>
      </c>
      <c r="F15" s="4">
        <v>0.13974502837983799</v>
      </c>
    </row>
    <row r="16" spans="1:14" x14ac:dyDescent="0.3">
      <c r="A16" t="s">
        <v>18</v>
      </c>
      <c r="B16" s="1">
        <v>2.4570877982488901</v>
      </c>
      <c r="C16" s="1">
        <v>4.6489149824070299E-2</v>
      </c>
      <c r="D16" s="1"/>
      <c r="E16">
        <v>2.1332832701378899</v>
      </c>
      <c r="F16">
        <v>5.3306391930695897E-2</v>
      </c>
    </row>
    <row r="17" spans="1:6" x14ac:dyDescent="0.3">
      <c r="A17" t="s">
        <v>19</v>
      </c>
      <c r="B17" s="1">
        <v>2.1611780893435202</v>
      </c>
      <c r="C17" s="1">
        <v>2.2902829987739501E-2</v>
      </c>
      <c r="D17" s="1"/>
      <c r="E17">
        <v>1.5696891769242001</v>
      </c>
      <c r="F17">
        <v>6.0315746405996497E-2</v>
      </c>
    </row>
    <row r="18" spans="1:6" x14ac:dyDescent="0.3">
      <c r="A18" t="s">
        <v>20</v>
      </c>
      <c r="B18" s="1">
        <v>1.0815326150097999</v>
      </c>
      <c r="C18" s="1">
        <v>2.60330956423807E-2</v>
      </c>
      <c r="D18" s="1"/>
      <c r="E18" s="1">
        <v>0.92907326329538398</v>
      </c>
      <c r="F18" s="1">
        <v>1.7473130000623699E-2</v>
      </c>
    </row>
    <row r="19" spans="1:6" x14ac:dyDescent="0.3">
      <c r="A19" t="s">
        <v>21</v>
      </c>
      <c r="B19" s="1">
        <v>0.96437434156407698</v>
      </c>
      <c r="C19" s="1">
        <v>0.102817188298302</v>
      </c>
      <c r="E19" s="1">
        <v>0.87895646836906005</v>
      </c>
      <c r="F19" s="1">
        <v>2.96109096059161E-2</v>
      </c>
    </row>
    <row r="20" spans="1:6" x14ac:dyDescent="0.3">
      <c r="A20" t="s">
        <v>22</v>
      </c>
      <c r="B20" s="1">
        <v>0.72677269567855995</v>
      </c>
      <c r="C20" s="1">
        <v>6.1164670673796301E-2</v>
      </c>
      <c r="E20" s="1">
        <v>0.44656844566152198</v>
      </c>
      <c r="F20" s="1">
        <v>3.6888935403261498E-2</v>
      </c>
    </row>
    <row r="21" spans="1:6" x14ac:dyDescent="0.3">
      <c r="A21" s="4" t="s">
        <v>23</v>
      </c>
      <c r="B21" s="4">
        <v>3.2991908922869402</v>
      </c>
      <c r="C21" s="4">
        <v>0.27910091101902101</v>
      </c>
      <c r="D21" s="4"/>
      <c r="E21" s="4">
        <v>2.8856894396762001</v>
      </c>
      <c r="F21" s="4">
        <v>0.19802786795233701</v>
      </c>
    </row>
    <row r="22" spans="1:6" x14ac:dyDescent="0.3">
      <c r="A22" t="s">
        <v>24</v>
      </c>
      <c r="B22" s="1">
        <v>2.5969599098833802</v>
      </c>
      <c r="C22" s="1">
        <v>3.4637544108555601E-2</v>
      </c>
      <c r="E22" s="1">
        <v>2.1130146076286298</v>
      </c>
      <c r="F22" s="1">
        <v>8.3580718646398905E-2</v>
      </c>
    </row>
    <row r="23" spans="1:6" x14ac:dyDescent="0.3">
      <c r="A23" t="s">
        <v>25</v>
      </c>
      <c r="B23" s="1">
        <v>1.9698125340927899</v>
      </c>
      <c r="C23" s="1">
        <v>0.20410428875040401</v>
      </c>
      <c r="E23" s="1">
        <v>1.7401676054665201</v>
      </c>
      <c r="F23" s="1">
        <v>7.2504464967576801E-2</v>
      </c>
    </row>
    <row r="24" spans="1:6" x14ac:dyDescent="0.3">
      <c r="A24" t="s">
        <v>26</v>
      </c>
      <c r="B24" s="1">
        <v>1.67859065955058</v>
      </c>
      <c r="C24" s="1">
        <v>3.690267971399E-2</v>
      </c>
      <c r="E24" s="1">
        <v>1.55822853012208</v>
      </c>
      <c r="F24" s="1">
        <v>4.7119998070573203E-2</v>
      </c>
    </row>
    <row r="25" spans="1:6" x14ac:dyDescent="0.3">
      <c r="A25" t="s">
        <v>27</v>
      </c>
      <c r="B25" s="1">
        <v>1.3062280430900799</v>
      </c>
      <c r="C25" s="1">
        <v>2.61748824623401E-2</v>
      </c>
      <c r="E25" s="1">
        <v>1.2024220687785201</v>
      </c>
      <c r="F25" s="1">
        <v>1.5665601566435199E-2</v>
      </c>
    </row>
    <row r="26" spans="1:6" x14ac:dyDescent="0.3">
      <c r="A26" t="s">
        <v>28</v>
      </c>
      <c r="B26" s="1">
        <v>1.1531166976428</v>
      </c>
      <c r="C26" s="1">
        <v>1.9307134136284099E-2</v>
      </c>
      <c r="E26" s="1">
        <v>0.91350349062126301</v>
      </c>
      <c r="F26" s="1">
        <v>7.4779975554483E-2</v>
      </c>
    </row>
    <row r="27" spans="1:6" x14ac:dyDescent="0.3">
      <c r="A27" s="4" t="s">
        <v>29</v>
      </c>
      <c r="B27" s="4">
        <v>4.2153199104133297</v>
      </c>
      <c r="C27" s="4">
        <v>0.47874215083764698</v>
      </c>
      <c r="D27" s="4"/>
      <c r="E27" s="4">
        <v>3.9599036179967602</v>
      </c>
      <c r="F27" s="4">
        <v>3.7305833476285501E-2</v>
      </c>
    </row>
    <row r="28" spans="1:6" x14ac:dyDescent="0.3">
      <c r="A28" t="s">
        <v>30</v>
      </c>
      <c r="B28" s="1">
        <v>2.7902550856646799</v>
      </c>
      <c r="C28" s="1">
        <v>0.13207941850219199</v>
      </c>
      <c r="E28" s="1">
        <v>2.5015570607402902</v>
      </c>
      <c r="F28" s="1">
        <v>6.6077003212883595E-2</v>
      </c>
    </row>
    <row r="29" spans="1:6" x14ac:dyDescent="0.3">
      <c r="A29" t="s">
        <v>31</v>
      </c>
      <c r="B29" s="1">
        <v>2.6408176507904901</v>
      </c>
      <c r="C29" s="1">
        <v>0.245188963070888</v>
      </c>
      <c r="E29" s="1">
        <v>2.3342783551308401</v>
      </c>
      <c r="F29" s="1">
        <v>6.3743208162612502E-2</v>
      </c>
    </row>
    <row r="30" spans="1:6" x14ac:dyDescent="0.3">
      <c r="A30" t="s">
        <v>32</v>
      </c>
      <c r="B30" s="1">
        <v>2.4474189349206501</v>
      </c>
      <c r="C30" s="1">
        <v>1.22187445808455E-2</v>
      </c>
      <c r="E30" s="1">
        <v>1.9771962699697101</v>
      </c>
      <c r="F30" s="1">
        <v>3.0495054255141998E-2</v>
      </c>
    </row>
    <row r="31" spans="1:6" x14ac:dyDescent="0.3">
      <c r="A31" t="s">
        <v>33</v>
      </c>
      <c r="B31" s="1">
        <v>1.6122101110195399</v>
      </c>
      <c r="C31" s="1">
        <v>7.3561568486945894E-2</v>
      </c>
      <c r="D31" s="1"/>
      <c r="E31" s="1">
        <v>1.55145080756613</v>
      </c>
      <c r="F31" s="1">
        <v>0.11377092712927001</v>
      </c>
    </row>
    <row r="32" spans="1:6" x14ac:dyDescent="0.3">
      <c r="A32" t="s">
        <v>34</v>
      </c>
      <c r="B32" s="1">
        <v>1.25399360335624</v>
      </c>
      <c r="C32" s="1">
        <v>0.18343099950960301</v>
      </c>
      <c r="D32" s="1"/>
      <c r="E32" s="1">
        <v>1.1862492302412999</v>
      </c>
      <c r="F32" s="1">
        <v>0.102411478355355</v>
      </c>
    </row>
    <row r="33" spans="1:6" x14ac:dyDescent="0.3">
      <c r="A33" s="4" t="s">
        <v>35</v>
      </c>
      <c r="B33" s="4">
        <v>4.2780243492987404</v>
      </c>
      <c r="C33" s="4">
        <v>0.337356761199888</v>
      </c>
      <c r="D33" s="4"/>
      <c r="E33" s="4">
        <v>4.2481058366626296</v>
      </c>
      <c r="F33" s="4">
        <v>0.161269821617294</v>
      </c>
    </row>
    <row r="34" spans="1:6" x14ac:dyDescent="0.3">
      <c r="A34" t="s">
        <v>36</v>
      </c>
      <c r="B34">
        <v>3.3349586334649799</v>
      </c>
      <c r="C34">
        <v>0.53888417889745399</v>
      </c>
      <c r="E34">
        <v>2.3975075447348302</v>
      </c>
      <c r="F34">
        <v>3.5458324844147501E-2</v>
      </c>
    </row>
    <row r="35" spans="1:6" x14ac:dyDescent="0.3">
      <c r="A35" t="s">
        <v>37</v>
      </c>
      <c r="B35">
        <v>2.1483022639798599</v>
      </c>
      <c r="C35">
        <v>0.30533440759762298</v>
      </c>
      <c r="E35">
        <v>1.86198531484283</v>
      </c>
      <c r="F35">
        <v>0.81166779742167405</v>
      </c>
    </row>
    <row r="36" spans="1:6" x14ac:dyDescent="0.3">
      <c r="A36" t="s">
        <v>38</v>
      </c>
      <c r="B36">
        <v>1.4269176029810899</v>
      </c>
      <c r="C36">
        <v>9.9900140110575297E-2</v>
      </c>
      <c r="E36" s="1">
        <v>1.186935705724</v>
      </c>
      <c r="F36" s="1">
        <v>2.5792559097121599E-2</v>
      </c>
    </row>
    <row r="37" spans="1:6" x14ac:dyDescent="0.3">
      <c r="A37" t="s">
        <v>39</v>
      </c>
      <c r="B37" s="1">
        <v>1.2272289763708499</v>
      </c>
      <c r="C37" s="1">
        <v>0.30266203481187198</v>
      </c>
      <c r="E37" s="1">
        <v>0.81163052413016701</v>
      </c>
      <c r="F37" s="1">
        <v>5.8166279638096001E-2</v>
      </c>
    </row>
    <row r="38" spans="1:6" x14ac:dyDescent="0.3">
      <c r="A38" t="s">
        <v>40</v>
      </c>
      <c r="B38" s="1">
        <v>0.76703480043217598</v>
      </c>
      <c r="C38" s="1">
        <v>0.22221444682564301</v>
      </c>
      <c r="E38" s="1">
        <v>0.69366896687047097</v>
      </c>
      <c r="F38" s="1">
        <v>2.7111861320656998E-2</v>
      </c>
    </row>
    <row r="39" spans="1:6" x14ac:dyDescent="0.3">
      <c r="A39" s="4" t="s">
        <v>41</v>
      </c>
      <c r="B39" s="4">
        <v>4.6448160474203597</v>
      </c>
      <c r="C39" s="4">
        <v>0.16084513834932099</v>
      </c>
      <c r="D39" s="4"/>
      <c r="E39" s="4">
        <v>3.8157279985579802</v>
      </c>
      <c r="F39" s="4">
        <v>0.109083458373654</v>
      </c>
    </row>
    <row r="40" spans="1:6" x14ac:dyDescent="0.3">
      <c r="A40" t="s">
        <v>42</v>
      </c>
      <c r="B40">
        <v>3.5936343514966498</v>
      </c>
      <c r="C40">
        <v>3.45200024454878E-2</v>
      </c>
      <c r="E40">
        <v>3.4382149910946498</v>
      </c>
      <c r="F40">
        <v>0.21967772145362399</v>
      </c>
    </row>
    <row r="41" spans="1:6" x14ac:dyDescent="0.3">
      <c r="A41" t="s">
        <v>43</v>
      </c>
      <c r="B41">
        <v>3.2899187545650599</v>
      </c>
      <c r="C41">
        <v>9.3572766626624407E-2</v>
      </c>
      <c r="E41">
        <v>2.21105032391793</v>
      </c>
      <c r="F41">
        <v>3.2559468055989201E-2</v>
      </c>
    </row>
    <row r="42" spans="1:6" x14ac:dyDescent="0.3">
      <c r="A42" t="s">
        <v>44</v>
      </c>
      <c r="B42">
        <v>1.60940412038448</v>
      </c>
      <c r="C42">
        <v>2.6248499706677801E-2</v>
      </c>
      <c r="E42">
        <v>1.0099190310725401</v>
      </c>
      <c r="F42">
        <v>5.1503971384545301E-2</v>
      </c>
    </row>
    <row r="43" spans="1:6" x14ac:dyDescent="0.3">
      <c r="A43" t="s">
        <v>45</v>
      </c>
      <c r="B43" s="1">
        <v>0.84725156776100996</v>
      </c>
      <c r="C43" s="1">
        <v>0.26812308537197099</v>
      </c>
      <c r="E43" s="1">
        <v>0.84261713245261605</v>
      </c>
      <c r="F43" s="1">
        <v>6.5745516437548293E-2</v>
      </c>
    </row>
    <row r="44" spans="1:6" x14ac:dyDescent="0.3">
      <c r="A44" t="s">
        <v>46</v>
      </c>
      <c r="B44" s="1">
        <v>0.77371666477491396</v>
      </c>
      <c r="C44" s="1">
        <v>9.1737412861293596E-2</v>
      </c>
      <c r="E44" s="1">
        <v>0.74785887303560905</v>
      </c>
      <c r="F44" s="1">
        <v>6.9922643020302794E-2</v>
      </c>
    </row>
    <row r="45" spans="1:6" x14ac:dyDescent="0.3">
      <c r="A45" s="4" t="s">
        <v>47</v>
      </c>
      <c r="B45" s="4">
        <v>4.8488762802076897</v>
      </c>
      <c r="C45" s="4">
        <v>1.07221360867859E-2</v>
      </c>
      <c r="D45" s="4"/>
      <c r="E45" s="4">
        <v>3.8523150674515398</v>
      </c>
      <c r="F45" s="4">
        <v>9.4675130484209793E-2</v>
      </c>
    </row>
    <row r="46" spans="1:6" x14ac:dyDescent="0.3">
      <c r="A46" t="s">
        <v>48</v>
      </c>
      <c r="B46" s="1">
        <v>3.67544094510734</v>
      </c>
      <c r="C46" s="1">
        <v>9.6625126660627406E-2</v>
      </c>
      <c r="E46" s="1">
        <v>2.6692040535146999</v>
      </c>
      <c r="F46" s="1">
        <v>0.12428794190287699</v>
      </c>
    </row>
    <row r="47" spans="1:6" x14ac:dyDescent="0.3">
      <c r="A47" t="s">
        <v>49</v>
      </c>
      <c r="B47" s="1">
        <v>2.41932661077802</v>
      </c>
      <c r="C47" s="1">
        <v>0.154388136264141</v>
      </c>
      <c r="E47" s="1">
        <v>2.2875596972259902</v>
      </c>
      <c r="F47" s="1">
        <v>0.155152666071632</v>
      </c>
    </row>
    <row r="48" spans="1:6" x14ac:dyDescent="0.3">
      <c r="A48" t="s">
        <v>50</v>
      </c>
      <c r="B48" s="1">
        <v>2.1610128780011202</v>
      </c>
      <c r="C48" s="1">
        <v>4.1385836018965498E-2</v>
      </c>
      <c r="E48" s="1">
        <v>2.0066105771324798</v>
      </c>
      <c r="F48" s="1">
        <v>0.10661274852620201</v>
      </c>
    </row>
    <row r="49" spans="1:6" x14ac:dyDescent="0.3">
      <c r="A49" t="s">
        <v>51</v>
      </c>
      <c r="B49" s="1">
        <v>1.8675628399242601</v>
      </c>
      <c r="C49" s="1">
        <v>1.17856763200137E-2</v>
      </c>
      <c r="E49" s="1">
        <v>1.5036220941162699</v>
      </c>
      <c r="F49" s="1">
        <v>4.7678502507291698E-3</v>
      </c>
    </row>
    <row r="50" spans="1:6" x14ac:dyDescent="0.3">
      <c r="A50" t="s">
        <v>52</v>
      </c>
      <c r="B50" s="1">
        <v>1.4720933654022199</v>
      </c>
      <c r="C50" s="1">
        <v>2.5731122129120199E-2</v>
      </c>
      <c r="E50" s="1">
        <v>1.2025370761223</v>
      </c>
      <c r="F50" s="1">
        <v>9.2948868079313296E-2</v>
      </c>
    </row>
    <row r="51" spans="1:6" x14ac:dyDescent="0.3">
      <c r="A51" s="4" t="s">
        <v>53</v>
      </c>
      <c r="B51" s="4">
        <v>4.854746924614</v>
      </c>
      <c r="C51" s="4">
        <v>0.24157775377652599</v>
      </c>
      <c r="D51" s="4"/>
      <c r="E51" s="4">
        <v>3.8728527744308301</v>
      </c>
      <c r="F51" s="4">
        <v>8.0291022514466195E-2</v>
      </c>
    </row>
    <row r="52" spans="1:6" x14ac:dyDescent="0.3">
      <c r="A52" t="s">
        <v>54</v>
      </c>
      <c r="B52" s="1">
        <v>2.9663024408682599</v>
      </c>
      <c r="C52" s="1">
        <v>5.3430912561335198E-2</v>
      </c>
      <c r="E52" s="1">
        <v>2.7831290989331201</v>
      </c>
      <c r="F52" s="1">
        <v>0.13832862861373299</v>
      </c>
    </row>
    <row r="53" spans="1:6" x14ac:dyDescent="0.3">
      <c r="A53" t="s">
        <v>55</v>
      </c>
      <c r="B53" s="1">
        <v>2.5498040144620102</v>
      </c>
      <c r="C53" s="1">
        <v>0.10304325536395301</v>
      </c>
      <c r="D53" s="1"/>
      <c r="E53" s="1">
        <v>2.1282565912024598</v>
      </c>
      <c r="F53" s="1">
        <v>5.4876598617433998E-2</v>
      </c>
    </row>
    <row r="54" spans="1:6" x14ac:dyDescent="0.3">
      <c r="A54" t="s">
        <v>56</v>
      </c>
      <c r="B54" s="1">
        <v>2.0080277462332901</v>
      </c>
      <c r="C54" s="1">
        <v>1.64678263644202E-2</v>
      </c>
      <c r="D54" s="1"/>
      <c r="E54" s="1">
        <v>1.84068521417457</v>
      </c>
      <c r="F54" s="1">
        <v>3.4794340261665301E-2</v>
      </c>
    </row>
    <row r="55" spans="1:6" x14ac:dyDescent="0.3">
      <c r="A55" t="s">
        <v>57</v>
      </c>
      <c r="B55" s="1">
        <v>1.9643094036359701</v>
      </c>
      <c r="C55" s="1">
        <v>3.1956895061140099E-2</v>
      </c>
      <c r="E55" s="1">
        <v>1.82125621181774</v>
      </c>
      <c r="F55" s="1">
        <v>9.5136079294523598E-2</v>
      </c>
    </row>
    <row r="56" spans="1:6" x14ac:dyDescent="0.3">
      <c r="A56" t="s">
        <v>58</v>
      </c>
      <c r="B56" s="1">
        <v>1.54377456553051</v>
      </c>
      <c r="C56" s="1">
        <v>2.52917025161996E-2</v>
      </c>
      <c r="E56" s="1">
        <v>1.62134225917613</v>
      </c>
      <c r="F56" s="1">
        <v>4.0380959490800998E-2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28717</dc:creator>
  <cp:lastModifiedBy>Dudy Lee</cp:lastModifiedBy>
  <dcterms:created xsi:type="dcterms:W3CDTF">2026-03-19T13:26:00Z</dcterms:created>
  <dcterms:modified xsi:type="dcterms:W3CDTF">2026-04-28T16:02:33Z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D6230E1301944169B4C3FAF687F2BA13_13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